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4d3c3ed9b743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ca4cb2dbd784b89"/>
    <x:sheet xmlns:r="http://schemas.openxmlformats.org/officeDocument/2006/relationships" name="Inputs" sheetId="2" r:id="Rcea243b9a20f4719"/>
    <x:sheet xmlns:r="http://schemas.openxmlformats.org/officeDocument/2006/relationships" name="Case Inputs" sheetId="3" r:id="R09e20fb98d934ef4"/>
    <x:sheet xmlns:r="http://schemas.openxmlformats.org/officeDocument/2006/relationships" name="Conservative" sheetId="4" r:id="R4a1e54b4447e4d46"/>
    <x:sheet xmlns:r="http://schemas.openxmlformats.org/officeDocument/2006/relationships" name="Base" sheetId="5" r:id="Rac1f77a175264f05"/>
    <x:sheet xmlns:r="http://schemas.openxmlformats.org/officeDocument/2006/relationships" name="Breakout" sheetId="6" r:id="Re312e056d4fb4397"/>
    <x:sheet xmlns:r="http://schemas.openxmlformats.org/officeDocument/2006/relationships" name="Traffic Stages" sheetId="7" r:id="R2d3a9b4045c44493"/>
    <x:sheet xmlns:r="http://schemas.openxmlformats.org/officeDocument/2006/relationships" name="Roadmap" sheetId="8" r:id="R21d89ca931564fe4"/>
    <x:sheet xmlns:r="http://schemas.openxmlformats.org/officeDocument/2006/relationships" name="Risks" sheetId="9" r:id="R1ced67f21cdf4801"/>
    <x:sheet xmlns:r="http://schemas.openxmlformats.org/officeDocument/2006/relationships" name="Experiments" sheetId="10" r:id="R3bd514e813c249cd"/>
    <x:sheet xmlns:r="http://schemas.openxmlformats.org/officeDocument/2006/relationships" name="Marketing Budgets" sheetId="11" r:id="R5474f8e247a04732"/>
    <x:sheet xmlns:r="http://schemas.openxmlformats.org/officeDocument/2006/relationships" name="Analytics Events" sheetId="12" r:id="R3d3bd283c6074cc6"/>
    <x:sheet xmlns:r="http://schemas.openxmlformats.org/officeDocument/2006/relationships" name="Sources" sheetId="13" r:id="R3445af7cfa894791"/>
  </x:sheets>
</x:workbook>
</file>

<file path=xl/comments1.xml><?xml version="1.0" encoding="utf-8"?>
<x:comments xmlns:x="http://schemas.openxmlformats.org/spreadsheetml/2006/main">
  <x:authors>
    <x:author>tc={E1D486E1-AB68-B13E-CB00-4A5C1551741E}</x:author>
    <x:author>tc={4F489677-A00D-1086-810F-53DE9B385201}</x:author>
    <x:author>tc={4327B48D-852C-6E0B-605E-0545E3FFE4F0}</x:author>
    <x:author>tc={A5B9E9CB-9D91-BAA8-7D79-A216EEF1038F}</x:author>
    <x:author>tc={84B7FB1A-D6B0-3AC4-86BF-04C045A502E2}</x:author>
    <x:author>tc={0BA35793-96C4-85F3-33B1-509140DF84E2}</x:author>
    <x:author>tc={AB127390-0275-DB07-C887-84CF884A481D}</x:author>
    <x:author>tc={1124EFB0-CC29-30A7-1E02-C14EA169225C}</x:author>
    <x:author>tc={DF81155C-20FE-E852-84AD-3CD2CBA19477}</x:author>
    <x:author>tc={A5EA03F5-8ACE-28C3-C056-ECB0E7D3DE64}</x:author>
    <x:author>tc={04EA5D74-4FB7-B61D-15F8-A582E2FA86F3}</x:author>
    <x:author>tc={B78C27C1-45AA-B78E-FFED-3B4201A10641}</x:author>
    <x:author>tc={E9082C86-E150-0593-AFA2-7227531E9237}</x:author>
    <x:author>tc={CDCCC956-312C-8752-FD52-73CBDFE84CE6}</x:author>
    <x:author>tc={756B0E53-1D3C-7160-E6B7-A3C44BD785B3}</x:author>
    <x:author>tc={58F3109F-0ED8-99E5-38A9-B98AACF0C096}</x:author>
    <x:author>tc={C443BBD5-DD54-C44A-35A5-82CFE23571B4}</x:author>
    <x:author>tc={FE4591D9-0A1C-841E-8C1B-29247CDFD4BB}</x:author>
    <x:author>tc={B2C416FA-4179-DB7E-BEA1-92B4C8BB5C2C}</x:author>
    <x:author>tc={7CEB3BA6-5CE2-99BE-0940-ED70B66C7B31}</x:author>
    <x:author>tc={23848A91-E9D5-7528-8D65-435ABCAFAAB4}</x:author>
    <x:author>tc={52519FE6-F044-ABDA-5C99-FFFCCCBD34D2}</x:author>
    <x:author>tc={C92A43EE-E0D5-FE56-3434-515C4D874A94}</x:author>
    <x:author>tc={C8C2AE8B-B91C-9F53-AB54-601BBC4612AA}</x:author>
    <x:author>tc={60BCA3ED-A829-A243-9DE0-41996BC695D4}</x:author>
    <x:author>tc={78897861-2199-9659-DC50-38A2A23BFA27}</x:author>
    <x:author>tc={3F20254A-B460-D592-9ED3-2D20153A998B}</x:author>
    <x:author>tc={B63A832A-9510-8F48-2723-A49367DB5D84}</x:author>
    <x:author>tc={771B781F-8DAD-63F7-2D0B-BAA2D77BCA11}</x:author>
    <x:author>tc={4A3773F2-946F-B8B8-9AB1-EE8092C96C27}</x:author>
    <x:author>tc={E5053D83-1DA9-C8A0-9F2D-A4397AB690E6}</x:author>
    <x:author>tc={5C4075BB-75A4-10AA-528B-644BA3C97130}</x:author>
    <x:author>tc={6B29C9D0-07FC-D7AD-CB77-99ECB97660F5}</x:author>
    <x:author>tc={979C4028-8904-FBF3-8FFB-3538C1871AAF}</x:author>
    <x:author>tc={4EED2EEE-7EF3-AB88-B7FD-5C8EBFF60A61}</x:author>
    <x:author>tc={3A6C488F-353F-061A-3F2E-BB8F75E409DC}</x:author>
  </x:authors>
  <x:commentList>
    <x:comment ref="B2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 / rationale: Planning assumption; replace with consent-aware actual analytics. Research date: 2026-09-09. Verify actual pricing/usage before spending.</x:t>
        </x:r>
      </x:text>
    </x:comment>
    <x:comment ref="B3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 / rationale: Planning assumption; external link-out may reduce this materially. Research date: 2026-09-09. Verify actual pricing/usage before spending.</x:t>
        </x:r>
      </x:text>
    </x:comment>
    <x:comment ref="B4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 / rationale: Planning assumption; static assets and caching must be measured. Research date: 2026-09-09. Verify actual pricing/usage before spending.</x:t>
        </x:r>
      </x:text>
    </x:comment>
    <x:comment ref="B5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 / rationale: Planning assumption; EXCLUDES third-party camera video. Research date: 2026-09-09. Verify actual pricing/usage before spending.</x:t>
        </x:r>
      </x:text>
    </x:comment>
    <x:comment ref="B6" authorId="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 / rationale: https://vercel.com/pricing. Research date: 2026-09-09. Verify actual pricing/usage before spending.</x:t>
        </x:r>
      </x:text>
    </x:comment>
    <x:comment ref="B7" authorId="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 / rationale: https://vercel.com/changelog/flat-rate-cdn-is-now-ga-for-pro-teams. Research date: 2026-09-09. Verify actual pricing/usage before spending.</x:t>
        </x:r>
      </x:text>
    </x:comment>
    <x:comment ref="B8" authorId="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 / rationale: https://vercel.com/changelog/flat-rate-cdn-is-now-ga-for-pro-teams. Research date: 2026-09-09. Verify actual pricing/usage before spending.</x:t>
        </x:r>
      </x:text>
    </x:comment>
    <x:comment ref="B9" authorId="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 / rationale: https://vercel.com/changelog/flat-rate-cdn-is-now-ga-for-pro-teams. Research date: 2026-09-09. Verify actual pricing/usage before spending.</x:t>
        </x:r>
      </x:text>
    </x:comment>
    <x:comment ref="B10" authorId="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 / rationale: https://vercel.com/changelog/flat-rate-cdn-is-now-ga-for-pro-teams. Research date: 2026-09-09. Verify actual pricing/usage before spending.</x:t>
        </x:r>
      </x:text>
    </x:comment>
    <x:comment ref="B11" authorId="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 / rationale: https://vercel.com/changelog/flat-rate-cdn-is-now-ga-for-pro-teams. Research date: 2026-09-09. Verify actual pricing/usage before spending.</x:t>
        </x:r>
      </x:text>
    </x:comment>
    <x:comment ref="B12" authorId="1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 / rationale: https://vercel.com/changelog/flat-rate-cdn-is-now-ga-for-pro-teams. Research date: 2026-09-09. Verify actual pricing/usage before spending.</x:t>
        </x:r>
      </x:text>
    </x:comment>
    <x:comment ref="B13" authorId="1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 / rationale: Unquoted planning allowance for compute, analytics and variable email; NOT vendor rate. Research date: 2026-09-09. Verify actual pricing/usage before spending.</x:t>
        </x:r>
      </x:text>
    </x:comment>
    <x:comment ref="B14" authorId="1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 / rationale: Planning assumption; excludes unconsented, blocked, ineligible and low-value inventory. Research date: 2026-09-09. Verify actual pricing/usage before spending.</x:t>
        </x:r>
      </x:text>
    </x:comment>
    <x:comment ref="B15" authorId="1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 / rationale: SPECULATIVE net publisher RPM; test range $3–8, no network quote. Research date: 2026-09-09. Verify actual pricing/usage before spending.</x:t>
        </x:r>
      </x:text>
    </x:comment>
    <x:comment ref="B16" authorId="1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 / rationale: Internal UX/economics gate, NOT network minimum. Research date: 2026-09-09. Verify actual pricing/usage before spending.</x:t>
        </x:r>
      </x:text>
    </x:comment>
    <x:comment ref="B17" authorId="1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 / rationale: https://stripe.com/pricing (standard US domestic card assumption). Research date: 2026-09-09. Verify actual pricing/usage before spending.</x:t>
        </x:r>
      </x:text>
    </x:comment>
    <x:comment ref="B18" authorId="1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 / rationale: https://stripe.com/pricing (one sponsor invoice/month and one premium charge/user/month). Research date: 2026-09-09. Verify actual pricing/usage before spending.</x:t>
        </x:r>
      </x:text>
    </x:comment>
    <x:comment ref="B19" authorId="1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 / rationale: https://stripe.com/billing/pricing; additional to card processing. Research date: 2026-09-09. Verify actual pricing/usage before spending.</x:t>
        </x:r>
      </x:text>
    </x:comment>
    <x:comment ref="B20" authorId="1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 / rationale: Price experiment assumption, NOT current product or approved price. Research date: 2026-09-09. Verify actual pricing/usage before spending.</x:t>
        </x:r>
      </x:text>
    </x:comment>
    <x:comment ref="B21" authorId="1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 / rationale: Planning budget: email/domain/books/tools/insurance accrual; replace with actual invoices. Research date: 2026-09-09. Verify actual pricing/usage before spending.</x:t>
        </x:r>
      </x:text>
    </x:comment>
    <x:comment ref="B22" authorId="2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 / rationale: Unknown availability; planning limit ~20 hours/week. Research date: 2026-09-09. Verify actual pricing/usage before spending.</x:t>
        </x:r>
      </x:text>
    </x:comment>
    <x:comment ref="B23" authorId="2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 / rationale: Founder-time sensitivity only; NOT salary paid or market quote. Research date: 2026-09-09. Verify actual pricing/usage before spending.</x:t>
        </x:r>
      </x:text>
    </x:comment>
    <x:comment ref="B24" authorId="2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 / rationale: Planning cash delay; actual booking completion/network terms differ. Research date: 2026-09-09. Verify actual pricing/usage before spending.</x:t>
        </x:r>
      </x:text>
    </x:comment>
    <x:comment ref="B25" authorId="2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 / rationale: Planning cash delay, not contract-specific. Research date: 2026-09-09. Verify actual pricing/usage before spending.</x:t>
        </x:r>
      </x:text>
    </x:comment>
    <x:comment ref="B26" authorId="2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 / rationale: Unit conversion. Research date: 2026-09-09. Verify actual pricing/usage before spending.</x:t>
        </x:r>
      </x:text>
    </x:comment>
    <x:comment ref="B27" authorId="2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 / rationale: Unit conversion. Research date: 2026-09-09. Verify actual pricing/usage before spending.</x:t>
        </x:r>
      </x:text>
    </x:comment>
    <x:comment ref="B28" authorId="2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 / rationale: Monthly upfront invoice assumption. Research date: 2026-09-09. Verify actual pricing/usage before spending.</x:t>
        </x:r>
      </x:text>
    </x:comment>
    <x:comment ref="B29" authorId="2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 / rationale: Monthly recurring plan, no annual prepaid accounting modeled. Research date: 2026-09-09. Verify actual pricing/usage before spending.</x:t>
        </x:r>
      </x:text>
    </x:comment>
    <x:comment ref="B30" authorId="2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Planning allocation, not vendor payment schedule</x:t>
        </x:r>
      </x:text>
    </x:comment>
    <x:comment ref="B31" authorId="2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Planning allocation</x:t>
        </x:r>
      </x:text>
    </x:comment>
    <x:comment ref="B32" authorId="3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Internal gate for rights/contractor budget</x:t>
        </x:r>
      </x:text>
    </x:comment>
    <x:comment ref="B33" authorId="3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Year boundary</x:t>
        </x:r>
      </x:text>
    </x:comment>
    <x:comment ref="B34" authorId="3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Planning envelope, not vendor pricing</x:t>
        </x:r>
      </x:text>
    </x:comment>
    <x:comment ref="B35" authorId="3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Planning envelope</x:t>
        </x:r>
      </x:text>
    </x:comment>
    <x:comment ref="B36" authorId="3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Planning envelope</x:t>
        </x:r>
      </x:text>
    </x:comment>
    <x:comment ref="B37" authorId="3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Planning envelope for support/marketing; not a vendor quote</x:t>
        </x:r>
      </x:text>
    </x:comment>
  </x:commentList>
</x:comments>
</file>

<file path=xl/comments2.xml><?xml version="1.0" encoding="utf-8"?>
<x:comments xmlns:x="http://schemas.openxmlformats.org/spreadsheetml/2006/main">
  <x:authors>
    <x:author>tc={4996FE33-0EB9-74C8-131E-42DBCD890DA5}</x:author>
    <x:author>tc={610F6557-2A82-78AF-0C2F-418A3A03007A}</x:author>
    <x:author>tc={9198367B-DDCF-349C-5EAD-9C33809FAD92}</x:author>
    <x:author>tc={73467F55-8725-9A0E-6DC7-A7F40074A4FD}</x:author>
    <x:author>tc={116F9DD1-B946-93DD-1873-77927FB93DEF}</x:author>
    <x:author>tc={147A0D4D-1CF1-9BF4-AAFB-B28569C3AC02}</x:author>
    <x:author>tc={CB2874EA-7637-0DB5-A9C5-17FB108A5F93}</x:author>
    <x:author>tc={0E22D574-CC93-52E6-2757-E93BC14A3A07}</x:author>
    <x:author>tc={F8F1EF2A-102B-84E8-DA48-48A8D1AD9394}</x:author>
    <x:author>tc={2E83BF03-8F04-9763-BDB6-7467AE9281FA}</x:author>
    <x:author>tc={099CE443-EA43-D000-D06A-3CF7582A093D}</x:author>
    <x:author>tc={B8C9D5C0-F60F-0ECB-40E7-DEA5ABDC0758}</x:author>
    <x:author>tc={2DA90690-D8F8-7187-5DED-B4EBE32D6E41}</x:author>
    <x:author>tc={0B08B867-3F75-3AFA-CB6C-8206821EF6CA}</x:author>
    <x:author>tc={3F5E47D5-C35D-FAF5-0EEA-B075ABB4C394}</x:author>
    <x:author>tc={2BAA7DE4-9DCB-05A9-1152-7B2F6C1F27F1}</x:author>
    <x:author>tc={CD4C2D50-913D-2944-0467-2F198E66F499}</x:author>
    <x:author>tc={B901B8E6-3E58-4F13-D59B-A825DF671F8D}</x:author>
    <x:author>tc={E706796B-233A-4D8E-7B59-3DAFC1F96EA2}</x:author>
    <x:author>tc={638BFD4B-33E7-9EFB-AF9E-3366B88365FC}</x:author>
    <x:author>tc={66F571F9-086B-FBC4-E989-21F25A356CC6}</x:author>
    <x:author>tc={A82756AA-DD5D-85BD-FFDE-93A19AF19E52}</x:author>
    <x:author>tc={5D9CAC83-E620-B748-0E69-DE9723B5C6DF}</x:author>
    <x:author>tc={B907ABEF-982B-55AD-C50D-4A40A5573504}</x:author>
    <x:author>tc={BD5B001A-F2E3-017D-4431-5011D120343E}</x:author>
    <x:author>tc={3E1590A3-77F5-4762-AEBE-D2443C835AAD}</x:author>
    <x:author>tc={743AEC21-C8D2-7724-705E-AA6BC043CE23}</x:author>
    <x:author>tc={34DA8016-0A18-8250-09BE-DC0458AE1236}</x:author>
    <x:author>tc={EDE93268-C669-A484-DB84-90E73F294EB6}</x:author>
    <x:author>tc={8D412DF2-0F2E-2683-586A-C1358BCCCA73}</x:author>
    <x:author>tc={37CA62D0-DB94-70C1-652C-CA8C94C1B1C3}</x:author>
    <x:author>tc={210F2E83-57EF-8AB0-C453-C19C544397BD}</x:author>
    <x:author>tc={1E2E19F3-711A-567F-49F2-81DFE0B61727}</x:author>
    <x:author>tc={4F5C0CC4-13CD-74A0-DB62-27225F1A54E9}</x:author>
    <x:author>tc={12967932-9E74-F081-F2FD-7B5B8EE9F47C}</x:author>
    <x:author>tc={D3E765FC-75CA-CAA0-6AC9-746BAA27590F}</x:author>
    <x:author>tc={176C845D-E22C-CB43-EA52-C5BB4AE2D9BA}</x:author>
    <x:author>tc={7D57A8B8-988B-D3D8-97D1-A8158564D065}</x:author>
    <x:author>tc={2DF68E76-DE3C-D00A-0834-92D10DF84686}</x:author>
    <x:author>tc={440A4D27-23CE-4886-E14D-30EFDBA4329E}</x:author>
    <x:author>tc={5D3900E2-6A01-9A57-C83F-B756E5B2B185}</x:author>
    <x:author>tc={AD18B2C7-BCC2-CE35-B41A-371DC151DC3D}</x:author>
    <x:author>tc={9751E3ED-5F07-D8A1-5C72-1A6AB8A15A88}</x:author>
    <x:author>tc={102A63FD-A4F5-9982-DEA5-9054062BA636}</x:author>
    <x:author>tc={EDED846A-2FE9-22FB-89E0-7431955F417E}</x:author>
  </x:authors>
  <x:commentList>
    <x:comment ref="B2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Hypothetical Conservative case assumption, not measured PeakCam data or vendor offer. See handbook section 07.</x:t>
        </x:r>
      </x:text>
    </x:comment>
    <x:comment ref="C2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Hypothetical Conservative case assumption, not measured PeakCam data or vendor offer. See handbook section 07.</x:t>
        </x:r>
      </x:text>
    </x:comment>
    <x:comment ref="D2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Hypothetical Conservative case assumption, not measured PeakCam data or vendor offer. See handbook section 07.</x:t>
        </x:r>
      </x:text>
    </x:comment>
    <x:comment ref="E2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Hypothetical Conservative case assumption, not measured PeakCam data or vendor offer. See handbook section 07.</x:t>
        </x:r>
      </x:text>
    </x:comment>
    <x:comment ref="F2" authorId="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Hypothetical Conservative case assumption, not measured PeakCam data or vendor offer. See handbook section 07.</x:t>
        </x:r>
      </x:text>
    </x:comment>
    <x:comment ref="G2" authorId="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Hypothetical Conservative case assumption, not measured PeakCam data or vendor offer. See handbook section 07.</x:t>
        </x:r>
      </x:text>
    </x:comment>
    <x:comment ref="H2" authorId="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Hypothetical Conservative case assumption, not measured PeakCam data or vendor offer. See handbook section 07.</x:t>
        </x:r>
      </x:text>
    </x:comment>
    <x:comment ref="I2" authorId="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Hypothetical Conservative case assumption, not measured PeakCam data or vendor offer. See handbook section 07.</x:t>
        </x:r>
      </x:text>
    </x:comment>
    <x:comment ref="J2" authorId="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Hypothetical Conservative case assumption, not measured PeakCam data or vendor offer. See handbook section 07.</x:t>
        </x:r>
      </x:text>
    </x:comment>
    <x:comment ref="K2" authorId="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Hypothetical Conservative case assumption, not measured PeakCam data or vendor offer. See handbook section 07.</x:t>
        </x:r>
      </x:text>
    </x:comment>
    <x:comment ref="L2" authorId="1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Hypothetical Conservative case assumption, not measured PeakCam data or vendor offer. See handbook section 07.</x:t>
        </x:r>
      </x:text>
    </x:comment>
    <x:comment ref="M2" authorId="1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Hypothetical Conservative case assumption, not measured PeakCam data or vendor offer. See handbook section 07.</x:t>
        </x:r>
      </x:text>
    </x:comment>
    <x:comment ref="N2" authorId="1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Hypothetical Conservative case assumption, not measured PeakCam data or vendor offer. See handbook section 07.</x:t>
        </x:r>
      </x:text>
    </x:comment>
    <x:comment ref="O2" authorId="1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Hypothetical Conservative case assumption, not measured PeakCam data or vendor offer. See handbook section 07.</x:t>
        </x:r>
      </x:text>
    </x:comment>
    <x:comment ref="P2" authorId="1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Hypothetical Conservative case assumption, not measured PeakCam data or vendor offer. See handbook section 07.</x:t>
        </x:r>
      </x:text>
    </x:comment>
    <x:comment ref="B3" authorId="1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Hypothetical Base case assumption, not measured PeakCam data or vendor offer. See handbook section 07.</x:t>
        </x:r>
      </x:text>
    </x:comment>
    <x:comment ref="C3" authorId="1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Hypothetical Base case assumption, not measured PeakCam data or vendor offer. See handbook section 07.</x:t>
        </x:r>
      </x:text>
    </x:comment>
    <x:comment ref="D3" authorId="1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Hypothetical Base case assumption, not measured PeakCam data or vendor offer. See handbook section 07.</x:t>
        </x:r>
      </x:text>
    </x:comment>
    <x:comment ref="E3" authorId="1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Hypothetical Base case assumption, not measured PeakCam data or vendor offer. See handbook section 07.</x:t>
        </x:r>
      </x:text>
    </x:comment>
    <x:comment ref="F3" authorId="1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Hypothetical Base case assumption, not measured PeakCam data or vendor offer. See handbook section 07.</x:t>
        </x:r>
      </x:text>
    </x:comment>
    <x:comment ref="G3" authorId="2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Hypothetical Base case assumption, not measured PeakCam data or vendor offer. See handbook section 07.</x:t>
        </x:r>
      </x:text>
    </x:comment>
    <x:comment ref="H3" authorId="2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Hypothetical Base case assumption, not measured PeakCam data or vendor offer. See handbook section 07.</x:t>
        </x:r>
      </x:text>
    </x:comment>
    <x:comment ref="I3" authorId="2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Hypothetical Base case assumption, not measured PeakCam data or vendor offer. See handbook section 07.</x:t>
        </x:r>
      </x:text>
    </x:comment>
    <x:comment ref="J3" authorId="2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Hypothetical Base case assumption, not measured PeakCam data or vendor offer. See handbook section 07.</x:t>
        </x:r>
      </x:text>
    </x:comment>
    <x:comment ref="K3" authorId="2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Hypothetical Base case assumption, not measured PeakCam data or vendor offer. See handbook section 07.</x:t>
        </x:r>
      </x:text>
    </x:comment>
    <x:comment ref="L3" authorId="2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Hypothetical Base case assumption, not measured PeakCam data or vendor offer. See handbook section 07.</x:t>
        </x:r>
      </x:text>
    </x:comment>
    <x:comment ref="M3" authorId="2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Hypothetical Base case assumption, not measured PeakCam data or vendor offer. See handbook section 07.</x:t>
        </x:r>
      </x:text>
    </x:comment>
    <x:comment ref="N3" authorId="2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Hypothetical Base case assumption, not measured PeakCam data or vendor offer. See handbook section 07.</x:t>
        </x:r>
      </x:text>
    </x:comment>
    <x:comment ref="O3" authorId="2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Hypothetical Base case assumption, not measured PeakCam data or vendor offer. See handbook section 07.</x:t>
        </x:r>
      </x:text>
    </x:comment>
    <x:comment ref="P3" authorId="2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Hypothetical Base case assumption, not measured PeakCam data or vendor offer. See handbook section 07.</x:t>
        </x:r>
      </x:text>
    </x:comment>
    <x:comment ref="B4" authorId="3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Hypothetical Breakout case assumption, not measured PeakCam data or vendor offer. See handbook section 07.</x:t>
        </x:r>
      </x:text>
    </x:comment>
    <x:comment ref="C4" authorId="3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Hypothetical Breakout case assumption, not measured PeakCam data or vendor offer. See handbook section 07.</x:t>
        </x:r>
      </x:text>
    </x:comment>
    <x:comment ref="D4" authorId="3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Hypothetical Breakout case assumption, not measured PeakCam data or vendor offer. See handbook section 07.</x:t>
        </x:r>
      </x:text>
    </x:comment>
    <x:comment ref="E4" authorId="3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Hypothetical Breakout case assumption, not measured PeakCam data or vendor offer. See handbook section 07.</x:t>
        </x:r>
      </x:text>
    </x:comment>
    <x:comment ref="F4" authorId="3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Hypothetical Breakout case assumption, not measured PeakCam data or vendor offer. See handbook section 07.</x:t>
        </x:r>
      </x:text>
    </x:comment>
    <x:comment ref="G4" authorId="3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Hypothetical Breakout case assumption, not measured PeakCam data or vendor offer. See handbook section 07.</x:t>
        </x:r>
      </x:text>
    </x:comment>
    <x:comment ref="H4" authorId="3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Hypothetical Breakout case assumption, not measured PeakCam data or vendor offer. See handbook section 07.</x:t>
        </x:r>
      </x:text>
    </x:comment>
    <x:comment ref="I4" authorId="3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Hypothetical Breakout case assumption, not measured PeakCam data or vendor offer. See handbook section 07.</x:t>
        </x:r>
      </x:text>
    </x:comment>
    <x:comment ref="J4" authorId="3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Hypothetical Breakout case assumption, not measured PeakCam data or vendor offer. See handbook section 07.</x:t>
        </x:r>
      </x:text>
    </x:comment>
    <x:comment ref="K4" authorId="3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Hypothetical Breakout case assumption, not measured PeakCam data or vendor offer. See handbook section 07.</x:t>
        </x:r>
      </x:text>
    </x:comment>
    <x:comment ref="L4" authorId="4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Hypothetical Breakout case assumption, not measured PeakCam data or vendor offer. See handbook section 07.</x:t>
        </x:r>
      </x:text>
    </x:comment>
    <x:comment ref="M4" authorId="4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Hypothetical Breakout case assumption, not measured PeakCam data or vendor offer. See handbook section 07.</x:t>
        </x:r>
      </x:text>
    </x:comment>
    <x:comment ref="N4" authorId="4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Hypothetical Breakout case assumption, not measured PeakCam data or vendor offer. See handbook section 07.</x:t>
        </x:r>
      </x:text>
    </x:comment>
    <x:comment ref="O4" authorId="4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Hypothetical Breakout case assumption, not measured PeakCam data or vendor offer. See handbook section 07.</x:t>
        </x:r>
      </x:text>
    </x:comment>
    <x:comment ref="P4" authorId="4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Hypothetical Breakout case assumption, not measured PeakCam data or vendor offer. See handbook section 07.</x:t>
        </x:r>
      </x:text>
    </x:comment>
  </x:commentList>
</x:comments>
</file>

<file path=xl/comments3.xml><?xml version="1.0" encoding="utf-8"?>
<x:comments xmlns:x="http://schemas.openxmlformats.org/spreadsheetml/2006/main">
  <x:authors>
    <x:author>tc={1701EB94-F889-7F12-4804-5DDEFD886710}</x:author>
    <x:author>tc={84F299C9-1DCC-8068-164D-06B83F4B846F}</x:author>
  </x:authors>
  <x:commentList>
    <x:comment ref="D2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MAU curve is an editable seasonal scenario. September value is NOT measured traffic. No actual historical analytics was available.</x:t>
        </x:r>
      </x:text>
    </x:comment>
    <x:comment ref="K2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Active sponsor counts are hypothetical signed-and-paying targets, not current partnerships.</x:t>
        </x:r>
      </x:text>
    </x:comment>
  </x:commentList>
</x:comments>
</file>

<file path=xl/comments4.xml><?xml version="1.0" encoding="utf-8"?>
<x:comments xmlns:x="http://schemas.openxmlformats.org/spreadsheetml/2006/main">
  <x:authors>
    <x:author>tc={7FFB2C6D-B763-CD21-9728-43AEBE1AE856}</x:author>
    <x:author>tc={D85D1670-4795-CFF3-1C09-AF1AD7041B86}</x:author>
  </x:authors>
  <x:commentList>
    <x:comment ref="D2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MAU curve is an editable seasonal scenario. September value is NOT measured traffic. No actual historical analytics was available.</x:t>
        </x:r>
      </x:text>
    </x:comment>
    <x:comment ref="K2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Active sponsor counts are hypothetical signed-and-paying targets, not current partnerships.</x:t>
        </x:r>
      </x:text>
    </x:comment>
  </x:commentList>
</x:comments>
</file>

<file path=xl/comments5.xml><?xml version="1.0" encoding="utf-8"?>
<x:comments xmlns:x="http://schemas.openxmlformats.org/spreadsheetml/2006/main">
  <x:authors>
    <x:author>tc={A505DAA9-17CF-9C5F-36BB-7ED82581CC23}</x:author>
    <x:author>tc={78543F57-5603-E8D4-EB6C-B10228AAE761}</x:author>
  </x:authors>
  <x:commentList>
    <x:comment ref="D2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MAU curve is an editable seasonal scenario. September value is NOT measured traffic. No actual historical analytics was available.</x:t>
        </x:r>
      </x:text>
    </x:comment>
    <x:comment ref="K2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Active sponsor counts are hypothetical signed-and-paying targets, not current partnerships.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0.####"/>
    <x:numFmt numFmtId="201" formatCode="mmm yyyy"/>
    <x:numFmt numFmtId="202" formatCode="#,##0;[Red](#,##0);&quot;-&quot;"/>
    <x:numFmt numFmtId="203" formatCode="0.0%;[Red](0.0%);&quot;-&quot;"/>
    <x:numFmt numFmtId="204" formatCode="$#,##0;[Red]($#,##0);&quot;-&quot;"/>
    <x:numFmt numFmtId="205" formatCode="yyyy-mm-dd"/>
    <x:numFmt numFmtId="206" formatCode="0.0"/>
  </x:numFmts>
  <x:fonts count="7">
    <x:font>
      <x:sz val="11"/>
      <x:name val="Carlito"/>
    </x:font>
    <x:font>
      <x:sz val="10"/>
      <x:name val="Carlito"/>
    </x:font>
    <x:font>
      <x:b/>
      <x:sz val="10"/>
      <x:color rgb="FFFFFFFF"/>
      <x:name val="Carlito"/>
    </x:font>
    <x:font>
      <x:b/>
      <x:sz val="11"/>
      <x:color rgb="FFFFFFFF"/>
      <x:name val="Carlito"/>
    </x:font>
    <x:font>
      <x:sz val="10"/>
      <x:color rgb="FF0000FF"/>
      <x:name val="Carlito"/>
    </x:font>
    <x:font>
      <x:sz val="10"/>
      <x:color rgb="FF008000"/>
      <x:name val="Carlito"/>
    </x:font>
    <x:font>
      <x:sz val="11"/>
      <x:color rgb="FF0000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147D92"/>
      </x:patternFill>
    </x:fill>
    <x:fill>
      <x:patternFill patternType="solid">
        <x:fgColor rgb="FFEAF2F6"/>
      </x:patternFill>
    </x:fill>
  </x:fills>
  <x:borders count="2">
    <x:border/>
    <x:border/>
  </x:borders>
  <x:cellStyleXfs count="1">
    <x:xf numFmtId="0" fontId="0" fillId="0" borderId="0"/>
  </x:cellStyleXfs>
  <x:cellXfs count="5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200" fontId="4" fillId="0" borderId="0" xfId="0" applyNumberFormat="1" applyFont="1" applyFill="1" applyBorder="1" applyAlignment="1">
      <x:alignment vertical="top" wrapText="1"/>
    </x:xf>
    <x:xf numFmtId="200" fontId="4" fillId="0" borderId="1" xfId="0" applyNumberFormat="1" applyFont="1" applyFill="1" applyBorder="1" applyAlignment="1">
      <x:alignment vertical="top" wrapText="1"/>
    </x:xf>
    <x:xf numFmtId="201" fontId="1" fillId="0" borderId="0" xfId="0" applyNumberFormat="1" applyFont="1" applyFill="1" applyBorder="1" applyAlignment="1">
      <x:alignment vertical="top" wrapText="1"/>
    </x:xf>
    <x:xf numFmtId="201" fontId="1" fillId="0" borderId="1" xfId="0" applyNumberFormat="1" applyFont="1" applyFill="1" applyBorder="1" applyAlignment="1">
      <x:alignment vertical="top" wrapText="1"/>
    </x:xf>
    <x:xf numFmtId="202" fontId="4" fillId="0" borderId="0" xfId="0" applyNumberFormat="1" applyFont="1" applyFill="1" applyBorder="1" applyAlignment="1">
      <x:alignment vertical="top" wrapText="1"/>
    </x:xf>
    <x:xf numFmtId="202" fontId="1" fillId="0" borderId="0" xfId="0" applyNumberFormat="1" applyFont="1" applyFill="1" applyBorder="1" applyAlignment="1">
      <x:alignment vertical="top" wrapText="1"/>
    </x:xf>
    <x:xf numFmtId="202" fontId="4" fillId="0" borderId="1" xfId="0" applyNumberFormat="1" applyFont="1" applyFill="1" applyBorder="1" applyAlignment="1">
      <x:alignment vertical="top" wrapText="1"/>
    </x:xf>
    <x:xf numFmtId="202" fontId="1" fillId="0" borderId="1" xfId="0" applyNumberFormat="1" applyFont="1" applyFill="1" applyBorder="1" applyAlignment="1">
      <x:alignment vertical="top" wrapText="1"/>
    </x:xf>
    <x:xf numFmtId="203" fontId="1" fillId="0" borderId="0" xfId="0" applyNumberFormat="1" applyFont="1" applyFill="1" applyBorder="1" applyAlignment="1">
      <x:alignment vertical="top" wrapText="1"/>
    </x:xf>
    <x:xf numFmtId="203" fontId="1" fillId="0" borderId="1" xfId="0" applyNumberFormat="1" applyFont="1" applyFill="1" applyBorder="1" applyAlignment="1">
      <x:alignment vertical="top" wrapText="1"/>
    </x:xf>
    <x:xf numFmtId="202" fontId="5" fillId="0" borderId="0" xfId="0" applyNumberFormat="1" applyFont="1" applyFill="1" applyBorder="1" applyAlignment="1">
      <x:alignment vertical="top" wrapText="1"/>
    </x:xf>
    <x:xf numFmtId="202" fontId="5" fillId="0" borderId="1" xfId="0" applyNumberFormat="1" applyFont="1" applyFill="1" applyBorder="1" applyAlignment="1">
      <x:alignment vertical="top" wrapText="1"/>
    </x:xf>
    <x:xf numFmtId="204" fontId="5" fillId="0" borderId="0" xfId="0" applyNumberFormat="1" applyFont="1" applyFill="1" applyBorder="1" applyAlignment="1">
      <x:alignment vertical="top" wrapText="1"/>
    </x:xf>
    <x:xf numFmtId="204" fontId="5" fillId="0" borderId="1" xfId="0" applyNumberFormat="1" applyFont="1" applyFill="1" applyBorder="1" applyAlignment="1">
      <x:alignment vertical="top" wrapText="1"/>
    </x:xf>
    <x:xf numFmtId="204" fontId="1" fillId="0" borderId="0" xfId="0" applyNumberFormat="1" applyFont="1" applyFill="1" applyBorder="1" applyAlignment="1">
      <x:alignment vertical="top" wrapText="1"/>
    </x:xf>
    <x:xf numFmtId="204" fontId="1" fillId="0" borderId="1" xfId="0" applyNumberFormat="1" applyFont="1" applyFill="1" applyBorder="1" applyAlignment="1">
      <x:alignment vertical="top" wrapText="1"/>
    </x:xf>
    <x:xf numFmtId="204" fontId="4" fillId="0" borderId="0" xfId="0" applyNumberFormat="1" applyFont="1" applyFill="1" applyBorder="1" applyAlignment="1">
      <x:alignment vertical="top" wrapText="1"/>
    </x:xf>
    <x:xf numFmtId="204" fontId="4" fillId="0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0" fillId="4" borderId="1" xfId="0" applyNumberFormat="1" applyFont="1" applyFill="1" applyBorder="1" applyAlignment="1">
      <x:alignment wrapText="1"/>
    </x:xf>
    <x:xf numFmtId="0" fontId="6" fillId="0" borderId="0" xfId="0" applyNumberFormat="1" applyFont="1" applyFill="1" applyBorder="1"/>
    <x:xf numFmtId="0" fontId="6" fillId="0" borderId="1" xfId="0" applyNumberFormat="1" applyFont="1" applyFill="1" applyBorder="1"/>
    <x:xf numFmtId="205" fontId="1" fillId="0" borderId="0" xfId="0" applyNumberFormat="1" applyFont="1" applyFill="1" applyBorder="1" applyAlignment="1">
      <x:alignment vertical="top" wrapText="1"/>
    </x:xf>
    <x:xf numFmtId="205" fontId="1" fillId="0" borderId="1" xfId="0" applyNumberFormat="1" applyFont="1" applyFill="1" applyBorder="1" applyAlignment="1">
      <x:alignment vertical="top" wrapText="1"/>
    </x:xf>
    <x:xf numFmtId="206" fontId="1" fillId="0" borderId="0" xfId="0" applyNumberFormat="1" applyFont="1" applyFill="1" applyBorder="1" applyAlignment="1">
      <x:alignment vertical="top" wrapText="1"/>
    </x:xf>
    <x:xf numFmtId="206" fontId="1" fillId="0" borderId="1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204" fontId="0" fillId="0" borderId="0" xfId="0" applyNumberFormat="1" applyFont="1" applyFill="1" applyBorder="1"/>
    <x:xf numFmtId="204" fontId="0" fillId="0" borderId="1" xfId="0" applyNumberFormat="1" applyFont="1" applyFill="1" applyBorder="1"/>
  </x:cellXfs>
  <x:cellStyles count="1">
    <x:cellStyle name="Normal" xfId="0"/>
  </x:cellStyles>
  <x:dxfs count="3">
    <x:dxf>
      <x:fill>
        <x:patternFill patternType="solid">
          <x:bgColor rgb="FFFCE8E6"/>
        </x:patternFill>
      </x:fill>
    </x:dxf>
    <x:dxf>
      <x:fill>
        <x:patternFill patternType="solid">
          <x:bgColor rgb="FFFCE8E6"/>
        </x:patternFill>
      </x:fill>
    </x:dxf>
    <x:dxf>
      <x:fill>
        <x:patternFill patternType="solid"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ade1cd84ab44cb9" /><Relationship Type="http://schemas.openxmlformats.org/officeDocument/2006/relationships/theme" Target="/xl/theme/theme1.xml" Id="R41a3279d598c4356" /><Relationship Type="http://schemas.openxmlformats.org/officeDocument/2006/relationships/sharedStrings" Target="/xl/sharedStrings.xml" Id="R3c0985b68e4445c4" /><Relationship Type="http://schemas.openxmlformats.org/officeDocument/2006/relationships/worksheet" Target="/xl/worksheets/sheet1.xml" Id="Rdca4cb2dbd784b89" /><Relationship Type="http://schemas.openxmlformats.org/officeDocument/2006/relationships/worksheet" Target="/xl/worksheets/sheet2.xml" Id="Rcea243b9a20f4719" /><Relationship Type="http://schemas.openxmlformats.org/officeDocument/2006/relationships/worksheet" Target="/xl/worksheets/sheet3.xml" Id="R09e20fb98d934ef4" /><Relationship Type="http://schemas.openxmlformats.org/officeDocument/2006/relationships/worksheet" Target="/xl/worksheets/sheet4.xml" Id="R4a1e54b4447e4d46" /><Relationship Type="http://schemas.openxmlformats.org/officeDocument/2006/relationships/worksheet" Target="/xl/worksheets/sheet5.xml" Id="Rac1f77a175264f05" /><Relationship Type="http://schemas.openxmlformats.org/officeDocument/2006/relationships/worksheet" Target="/xl/worksheets/sheet6.xml" Id="Re312e056d4fb4397" /><Relationship Type="http://schemas.openxmlformats.org/officeDocument/2006/relationships/worksheet" Target="/xl/worksheets/sheet7.xml" Id="R2d3a9b4045c44493" /><Relationship Type="http://schemas.openxmlformats.org/officeDocument/2006/relationships/worksheet" Target="/xl/worksheets/sheet8.xml" Id="R21d89ca931564fe4" /><Relationship Type="http://schemas.openxmlformats.org/officeDocument/2006/relationships/worksheet" Target="/xl/worksheets/sheet9.xml" Id="R1ced67f21cdf4801" /><Relationship Type="http://schemas.openxmlformats.org/officeDocument/2006/relationships/worksheet" Target="/xl/worksheets/sheet10.xml" Id="R3bd514e813c249cd" /><Relationship Type="http://schemas.openxmlformats.org/officeDocument/2006/relationships/worksheet" Target="/xl/worksheets/sheet11.xml" Id="R5474f8e247a04732" /><Relationship Type="http://schemas.openxmlformats.org/officeDocument/2006/relationships/worksheet" Target="/xl/worksheets/sheet12.xml" Id="R3d3bd283c6074cc6" /><Relationship Type="http://schemas.openxmlformats.org/officeDocument/2006/relationships/worksheet" Target="/xl/worksheets/sheet13.xml" Id="R3445af7cfa894791" /><Relationship Type="http://schemas.microsoft.com/office/2017/10/relationships/person" Target="/xl/persons/person.xml" Id="R387c334a3bef464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2cdf050db6e47e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Conditional scenarios — not actual performance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12-mo Revenue ($)</c:v>
          </c:tx>
          <c:cat>
            <c:strRef>
              <c:f>'Summary'!$A$25:$A$27</c:f>
              <c:strCache>
                <c:ptCount val="0"/>
              </c:strCache>
            </c:strRef>
          </c:cat>
          <c:val>
            <c:numRef>
              <c:f>'Summary'!$B$25:$B$27</c:f>
              <c:numCache>
                <c:formatCode>$#,##0;[Red]($#,##0);"-"</c:formatCode>
                <c:ptCount val="0"/>
              </c:numCache>
            </c:numRef>
          </c:val>
        </c:ser>
        <c:ser>
          <c:idx val="1"/>
          <c:order val="1"/>
          <c:tx>
            <c:v>24-mo Revenue ($)</c:v>
          </c:tx>
          <c:cat>
            <c:strRef>
              <c:f>'Summary'!$A$25:$A$27</c:f>
              <c:strCache>
                <c:ptCount val="0"/>
              </c:strCache>
            </c:strRef>
          </c:cat>
          <c:val>
            <c:numRef>
              <c:f>'Summary'!$C$25:$C$27</c:f>
              <c:numCache>
                <c:formatCode>$#,##0;[Red]($#,##0);"-"</c:formatCode>
                <c:ptCount val="0"/>
              </c:numCache>
            </c:numRef>
          </c:val>
        </c:ser>
        <c:ser>
          <c:idx val="2"/>
          <c:order val="2"/>
          <c:tx>
            <c:v>24-mo Op result ($)</c:v>
          </c:tx>
          <c:cat>
            <c:strRef>
              <c:f>'Summary'!$A$25:$A$27</c:f>
              <c:strCache>
                <c:ptCount val="0"/>
              </c:strCache>
            </c:strRef>
          </c:cat>
          <c:val>
            <c:numRef>
              <c:f>'Summary'!$D$25:$D$27</c:f>
              <c:numCache>
                <c:formatCode>$#,##0;[Red]($#,##0);"-"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29</xdr:row>
      <xdr:rowOff>0</xdr:rowOff>
    </xdr:from>
    <xdr:to>
      <xdr:col>8</xdr:col>
      <xdr:colOff>0</xdr:colOff>
      <xdr:row>48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2cdf050db6e47ea"/>
        </a:graphicData>
      </a:graphic>
    </xdr:graphicFrame>
    <xdr:clientData/>
  </xdr:twoCellAnchor>
</xdr:wsDr>
</file>

<file path=xl/persons/person.xml><?xml version="1.0" encoding="utf-8"?>
<xltc:personList xmlns:xltc="http://schemas.microsoft.com/office/spreadsheetml/2018/threadedcomments">
  <xltc:person displayName="PeakCam Research" id="{07A3FDD9-B195-4408-ABEC-44B952CE9F71}"/>
</xltc:personList>
</file>

<file path=xl/tables/table1.xml><?xml version="1.0" encoding="utf-8"?>
<x:table xmlns:x="http://schemas.openxmlformats.org/spreadsheetml/2006/main" id="1" name="SummaryTable" displayName="SummaryTable" ref="A1:H10" headerRowCount="1" totalsRowCount="0" totalsRowShown="0">
  <x:tableColumns count="8">
    <x:tableColumn id="1" name="Case"/>
    <x:tableColumn id="2" name="Horizon months"/>
    <x:tableColumn id="3" name="Earned revenue ($)"/>
    <x:tableColumn id="4" name="Operating result ($)"/>
    <x:tableColumn id="5" name="Cash receipts ($)"/>
    <x:tableColumn id="6" name="Net cash ($)"/>
    <x:tableColumn id="7" name="Peak funding need ($)"/>
    <x:tableColumn id="8" name="After founder time ($)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InputsTable" displayName="InputsTable" ref="A1:D29" headerRowCount="1" totalsRowCount="0" totalsRowShown="0">
  <x:tableColumns count="4">
    <x:tableColumn id="1" name="Key"/>
    <x:tableColumn id="2" name="Value"/>
    <x:tableColumn id="3" name="Units"/>
    <x:tableColumn id="4" name="Source / assumptio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aseInputsTable" displayName="CaseInputsTable" ref="A1:P4" headerRowCount="1" totalsRowCount="0" totalsRowShown="0">
  <x:tableColumns count="16">
    <x:tableColumn id="1" name="Case"/>
    <x:tableColumn id="2" name="click"/>
    <x:tableColumn id="3" name="conversion"/>
    <x:tableColumn id="4" name="commission"/>
    <x:tableColumn id="5" name="approval"/>
    <x:tableColumn id="6" name="ad_start"/>
    <x:tableColumn id="7" name="affiliate_start"/>
    <x:tableColumn id="8" name="premium_start"/>
    <x:tableColumn id="9" name="paid_fraction"/>
    <x:tableColumn id="10" name="sponsor_price_y1"/>
    <x:tableColumn id="11" name="sponsor_price_y2"/>
    <x:tableColumn id="12" name="rights"/>
    <x:tableColumn id="13" name="setup"/>
    <x:tableColumn id="14" name="marketing_season"/>
    <x:tableColumn id="15" name="marketing_off"/>
    <x:tableColumn id="16" name="contracto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onservativeTable" displayName="ConservativeTable" ref="A1:AH25" headerRowCount="1" totalsRowCount="0" totalsRowShown="0">
  <x:tableColumns count="34">
    <x:tableColumn id="1" name="Case"/>
    <x:tableColumn id="2" name="Month"/>
    <x:tableColumn id="3" name="Index"/>
    <x:tableColumn id="4" name="MAU"/>
    <x:tableColumn id="5" name="Pageviews"/>
    <x:tableColumn id="6" name="CDN requests"/>
    <x:tableColumn id="7" name="Own-origin GB"/>
    <x:tableColumn id="8" name="Affiliate clicks"/>
    <x:tableColumn id="9" name="Affiliate revenue"/>
    <x:tableColumn id="10" name="Ad revenue"/>
    <x:tableColumn id="11" name="Sponsor count"/>
    <x:tableColumn id="12" name="Sponsor unit price"/>
    <x:tableColumn id="13" name="Sponsor revenue"/>
    <x:tableColumn id="14" name="Active paid target"/>
    <x:tableColumn id="15" name="Premium revenue"/>
    <x:tableColumn id="16" name="Revenue"/>
    <x:tableColumn id="17" name="CDN upgrade"/>
    <x:tableColumn id="18" name="Tech cost"/>
    <x:tableColumn id="19" name="Rights budget"/>
    <x:tableColumn id="20" name="Payment fees"/>
    <x:tableColumn id="21" name="Direct cost"/>
    <x:tableColumn id="22" name="Gross profit"/>
    <x:tableColumn id="23" name="Gross margin"/>
    <x:tableColumn id="24" name="Admin"/>
    <x:tableColumn id="25" name="Marketing"/>
    <x:tableColumn id="26" name="Contractors"/>
    <x:tableColumn id="27" name="Setup"/>
    <x:tableColumn id="28" name="Operating result"/>
    <x:tableColumn id="29" name="Cash receipts"/>
    <x:tableColumn id="30" name="Cash outflow"/>
    <x:tableColumn id="31" name="Net cash"/>
    <x:tableColumn id="32" name="Cumulative cash"/>
    <x:tableColumn id="33" name="Founder opportunity cost"/>
    <x:tableColumn id="34" name="After founder tim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BaseTable" displayName="BaseTable" ref="A1:AH25" headerRowCount="1" totalsRowCount="0" totalsRowShown="0">
  <x:tableColumns count="34">
    <x:tableColumn id="1" name="Case"/>
    <x:tableColumn id="2" name="Month"/>
    <x:tableColumn id="3" name="Index"/>
    <x:tableColumn id="4" name="MAU"/>
    <x:tableColumn id="5" name="Pageviews"/>
    <x:tableColumn id="6" name="CDN requests"/>
    <x:tableColumn id="7" name="Own-origin GB"/>
    <x:tableColumn id="8" name="Affiliate clicks"/>
    <x:tableColumn id="9" name="Affiliate revenue"/>
    <x:tableColumn id="10" name="Ad revenue"/>
    <x:tableColumn id="11" name="Sponsor count"/>
    <x:tableColumn id="12" name="Sponsor unit price"/>
    <x:tableColumn id="13" name="Sponsor revenue"/>
    <x:tableColumn id="14" name="Active paid target"/>
    <x:tableColumn id="15" name="Premium revenue"/>
    <x:tableColumn id="16" name="Revenue"/>
    <x:tableColumn id="17" name="CDN upgrade"/>
    <x:tableColumn id="18" name="Tech cost"/>
    <x:tableColumn id="19" name="Rights budget"/>
    <x:tableColumn id="20" name="Payment fees"/>
    <x:tableColumn id="21" name="Direct cost"/>
    <x:tableColumn id="22" name="Gross profit"/>
    <x:tableColumn id="23" name="Gross margin"/>
    <x:tableColumn id="24" name="Admin"/>
    <x:tableColumn id="25" name="Marketing"/>
    <x:tableColumn id="26" name="Contractors"/>
    <x:tableColumn id="27" name="Setup"/>
    <x:tableColumn id="28" name="Operating result"/>
    <x:tableColumn id="29" name="Cash receipts"/>
    <x:tableColumn id="30" name="Cash outflow"/>
    <x:tableColumn id="31" name="Net cash"/>
    <x:tableColumn id="32" name="Cumulative cash"/>
    <x:tableColumn id="33" name="Founder opportunity cost"/>
    <x:tableColumn id="34" name="After founder tim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BreakoutTable" displayName="BreakoutTable" ref="A1:AH25" headerRowCount="1" totalsRowCount="0" totalsRowShown="0">
  <x:tableColumns count="34">
    <x:tableColumn id="1" name="Case"/>
    <x:tableColumn id="2" name="Month"/>
    <x:tableColumn id="3" name="Index"/>
    <x:tableColumn id="4" name="MAU"/>
    <x:tableColumn id="5" name="Pageviews"/>
    <x:tableColumn id="6" name="CDN requests"/>
    <x:tableColumn id="7" name="Own-origin GB"/>
    <x:tableColumn id="8" name="Affiliate clicks"/>
    <x:tableColumn id="9" name="Affiliate revenue"/>
    <x:tableColumn id="10" name="Ad revenue"/>
    <x:tableColumn id="11" name="Sponsor count"/>
    <x:tableColumn id="12" name="Sponsor unit price"/>
    <x:tableColumn id="13" name="Sponsor revenue"/>
    <x:tableColumn id="14" name="Active paid target"/>
    <x:tableColumn id="15" name="Premium revenue"/>
    <x:tableColumn id="16" name="Revenue"/>
    <x:tableColumn id="17" name="CDN upgrade"/>
    <x:tableColumn id="18" name="Tech cost"/>
    <x:tableColumn id="19" name="Rights budget"/>
    <x:tableColumn id="20" name="Payment fees"/>
    <x:tableColumn id="21" name="Direct cost"/>
    <x:tableColumn id="22" name="Gross profit"/>
    <x:tableColumn id="23" name="Gross margin"/>
    <x:tableColumn id="24" name="Admin"/>
    <x:tableColumn id="25" name="Marketing"/>
    <x:tableColumn id="26" name="Contractors"/>
    <x:tableColumn id="27" name="Setup"/>
    <x:tableColumn id="28" name="Operating result"/>
    <x:tableColumn id="29" name="Cash receipts"/>
    <x:tableColumn id="30" name="Cash outflow"/>
    <x:tableColumn id="31" name="Net cash"/>
    <x:tableColumn id="32" name="Cumulative cash"/>
    <x:tableColumn id="33" name="Founder opportunity cost"/>
    <x:tableColumn id="34" name="After founder time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rafficStagesTable" displayName="TrafficStagesTable" ref="A1:P6" headerRowCount="1" totalsRowCount="0" totalsRowShown="0">
  <x:tableColumns count="16">
    <x:tableColumn id="1" name="Monthly users"/>
    <x:tableColumn id="2" name="Pageviews"/>
    <x:tableColumn id="3" name="CDN requests"/>
    <x:tableColumn id="4" name="Own-origin GB"/>
    <x:tableColumn id="5" name="Tech model ($)"/>
    <x:tableColumn id="6" name="Tech low ($)"/>
    <x:tableColumn id="7" name="Tech high ($)"/>
    <x:tableColumn id="8" name="All-in low ($)"/>
    <x:tableColumn id="9" name="All-in high ($)"/>
    <x:tableColumn id="10" name="Affiliate ($)"/>
    <x:tableColumn id="11" name="Ads ($)"/>
    <x:tableColumn id="12" name="Sponsor count"/>
    <x:tableColumn id="13" name="Sponsor price ($)"/>
    <x:tableColumn id="14" name="Revenue ($)"/>
    <x:tableColumn id="15" name="Direct cost ($)"/>
    <x:tableColumn id="16" name="Gross margin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RoadmapTable" displayName="RoadmapTable" ref="A1:P37" headerRowCount="1" totalsRowCount="0" totalsRowShown="0">
  <x:tableColumns count="16">
    <x:tableColumn id="1" name="ID"/>
    <x:tableColumn id="2" name="Phase"/>
    <x:tableColumn id="3" name="Action"/>
    <x:tableColumn id="4" name="Priority"/>
    <x:tableColumn id="5" name="Deadline"/>
    <x:tableColumn id="6" name="Owner"/>
    <x:tableColumn id="7" name="Hours"/>
    <x:tableColumn id="8" name="Cost_USD"/>
    <x:tableColumn id="9" name="Dependency"/>
    <x:tableColumn id="10" name="Success_metric"/>
    <x:tableColumn id="11" name="Expected_benefit"/>
    <x:tableColumn id="12" name="Status"/>
    <x:tableColumn id="13" name="Impact (1–5)"/>
    <x:tableColumn id="14" name="Urgency (1–5)"/>
    <x:tableColumn id="15" name="Effort (1–5)"/>
    <x:tableColumn id="16" name="Impact x urgency / effort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RisksTable" displayName="RisksTable" ref="A1:K29" headerRowCount="1" totalsRowCount="0" totalsRowShown="0">
  <x:tableColumns count="11">
    <x:tableColumn id="1" name="ID"/>
    <x:tableColumn id="2" name="Category"/>
    <x:tableColumn id="3" name="Risk"/>
    <x:tableColumn id="4" name="Probability"/>
    <x:tableColumn id="5" name="Impact"/>
    <x:tableColumn id="6" name="Score"/>
    <x:tableColumn id="7" name="Current_exposure"/>
    <x:tableColumn id="8" name="Mitigation"/>
    <x:tableColumn id="9" name="Attorney_review"/>
    <x:tableColumn id="10" name="Trigger"/>
    <x:tableColumn id="11" name="Owner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ExperimentsTable" displayName="ExperimentsTable" ref="A1:J16" headerRowCount="1" totalsRowCount="0" totalsRowShown="0">
  <x:tableColumns count="10">
    <x:tableColumn id="1" name="ID"/>
    <x:tableColumn id="2" name="Hypothesis"/>
    <x:tableColumn id="3" name="Implementation"/>
    <x:tableColumn id="4" name="Cost_USD"/>
    <x:tableColumn id="5" name="Duration_days"/>
    <x:tableColumn id="6" name="Success_threshold"/>
    <x:tableColumn id="7" name="Learning"/>
    <x:tableColumn id="8" name="Deadline"/>
    <x:tableColumn id="9" name="Owner"/>
    <x:tableColumn id="10" name="Statu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MarketingBudgetsTable" displayName="MarketingBudgetsTable" ref="A1:L6" headerRowCount="1" totalsRowCount="0" totalsRowShown="0">
  <x:tableColumns count="12">
    <x:tableColumn id="1" name="Budget"/>
    <x:tableColumn id="2" name="Paid search"/>
    <x:tableColumn id="3" name="Paid social"/>
    <x:tableColumn id="4" name="Creators"/>
    <x:tableColumn id="5" name="Content / SEO labor"/>
    <x:tableColumn id="6" name="PR / community"/>
    <x:tableColumn id="7" name="Giveaways"/>
    <x:tableColumn id="8" name="Partnership visits / samples"/>
    <x:tableColumn id="9" name="Tools"/>
    <x:tableColumn id="10" name="Reserve"/>
    <x:tableColumn id="11" name="Allocated"/>
    <x:tableColumn id="12" name="Unallocated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AnalyticsEventsTable" displayName="AnalyticsEventsTable" ref="A1:E30" headerRowCount="1" totalsRowCount="0" totalsRowShown="0">
  <x:tableColumns count="5">
    <x:tableColumn id="1" name="Event"/>
    <x:tableColumn id="2" name="Trigger"/>
    <x:tableColumn id="3" name="Properties"/>
    <x:tableColumn id="4" name="Implementation status"/>
    <x:tableColumn id="5" name="Purpose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SourcesTable" displayName="SourcesTable" ref="A1:D48" headerRowCount="1" totalsRowCount="0" totalsRowShown="0">
  <x:tableColumns count="4">
    <x:tableColumn id="1" name="Source ID"/>
    <x:tableColumn id="2" name="Title"/>
    <x:tableColumn id="3" name="URL"/>
    <x:tableColumn id="4" name="Evidence / limita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B2" dT="2026-09-09T16:33:30.917" personId="{07A3FDD9-B195-4408-ABEC-44B952CE9F71}" id="{E1D486E1-AB68-B13E-CB00-4A5C1551741E}">
    <xltc:text>Source / rationale: Planning assumption; replace with consent-aware actual analytics. Research date: 2026-09-09. Verify actual pricing/usage before spending.</xltc:text>
  </xltc:threadedComment>
  <xltc:threadedComment ref="B3" dT="2026-09-09T16:33:30.917" personId="{07A3FDD9-B195-4408-ABEC-44B952CE9F71}" id="{4F489677-A00D-1086-810F-53DE9B385201}">
    <xltc:text>Source / rationale: Planning assumption; external link-out may reduce this materially. Research date: 2026-09-09. Verify actual pricing/usage before spending.</xltc:text>
  </xltc:threadedComment>
  <xltc:threadedComment ref="B4" dT="2026-09-09T16:33:30.917" personId="{07A3FDD9-B195-4408-ABEC-44B952CE9F71}" id="{4327B48D-852C-6E0B-605E-0545E3FFE4F0}">
    <xltc:text>Source / rationale: Planning assumption; static assets and caching must be measured. Research date: 2026-09-09. Verify actual pricing/usage before spending.</xltc:text>
  </xltc:threadedComment>
  <xltc:threadedComment ref="B5" dT="2026-09-09T16:33:30.917" personId="{07A3FDD9-B195-4408-ABEC-44B952CE9F71}" id="{A5B9E9CB-9D91-BAA8-7D79-A216EEF1038F}">
    <xltc:text>Source / rationale: Planning assumption; EXCLUDES third-party camera video. Research date: 2026-09-09. Verify actual pricing/usage before spending.</xltc:text>
  </xltc:threadedComment>
  <xltc:threadedComment ref="B6" dT="2026-09-09T16:33:30.917" personId="{07A3FDD9-B195-4408-ABEC-44B952CE9F71}" id="{84B7FB1A-D6B0-3AC4-86BF-04C045A502E2}">
    <xltc:text>Source / rationale: https://vercel.com/pricing. Research date: 2026-09-09. Verify actual pricing/usage before spending.</xltc:text>
  </xltc:threadedComment>
  <xltc:threadedComment ref="B7" dT="2026-09-09T16:33:30.917" personId="{07A3FDD9-B195-4408-ABEC-44B952CE9F71}" id="{0BA35793-96C4-85F3-33B1-509140DF84E2}">
    <xltc:text>Source / rationale: https://vercel.com/changelog/flat-rate-cdn-is-now-ga-for-pro-teams. Research date: 2026-09-09. Verify actual pricing/usage before spending.</xltc:text>
  </xltc:threadedComment>
  <xltc:threadedComment ref="B8" dT="2026-09-09T16:33:30.917" personId="{07A3FDD9-B195-4408-ABEC-44B952CE9F71}" id="{AB127390-0275-DB07-C887-84CF884A481D}">
    <xltc:text>Source / rationale: https://vercel.com/changelog/flat-rate-cdn-is-now-ga-for-pro-teams. Research date: 2026-09-09. Verify actual pricing/usage before spending.</xltc:text>
  </xltc:threadedComment>
  <xltc:threadedComment ref="B9" dT="2026-09-09T16:33:30.917" personId="{07A3FDD9-B195-4408-ABEC-44B952CE9F71}" id="{1124EFB0-CC29-30A7-1E02-C14EA169225C}">
    <xltc:text>Source / rationale: https://vercel.com/changelog/flat-rate-cdn-is-now-ga-for-pro-teams. Research date: 2026-09-09. Verify actual pricing/usage before spending.</xltc:text>
  </xltc:threadedComment>
  <xltc:threadedComment ref="B10" dT="2026-09-09T16:33:30.917" personId="{07A3FDD9-B195-4408-ABEC-44B952CE9F71}" id="{DF81155C-20FE-E852-84AD-3CD2CBA19477}">
    <xltc:text>Source / rationale: https://vercel.com/changelog/flat-rate-cdn-is-now-ga-for-pro-teams. Research date: 2026-09-09. Verify actual pricing/usage before spending.</xltc:text>
  </xltc:threadedComment>
  <xltc:threadedComment ref="B11" dT="2026-09-09T16:33:30.917" personId="{07A3FDD9-B195-4408-ABEC-44B952CE9F71}" id="{A5EA03F5-8ACE-28C3-C056-ECB0E7D3DE64}">
    <xltc:text>Source / rationale: https://vercel.com/changelog/flat-rate-cdn-is-now-ga-for-pro-teams. Research date: 2026-09-09. Verify actual pricing/usage before spending.</xltc:text>
  </xltc:threadedComment>
  <xltc:threadedComment ref="B12" dT="2026-09-09T16:33:30.917" personId="{07A3FDD9-B195-4408-ABEC-44B952CE9F71}" id="{04EA5D74-4FB7-B61D-15F8-A582E2FA86F3}">
    <xltc:text>Source / rationale: https://vercel.com/changelog/flat-rate-cdn-is-now-ga-for-pro-teams. Research date: 2026-09-09. Verify actual pricing/usage before spending.</xltc:text>
  </xltc:threadedComment>
  <xltc:threadedComment ref="B13" dT="2026-09-09T16:33:30.917" personId="{07A3FDD9-B195-4408-ABEC-44B952CE9F71}" id="{B78C27C1-45AA-B78E-FFED-3B4201A10641}">
    <xltc:text>Source / rationale: Unquoted planning allowance for compute, analytics and variable email; NOT vendor rate. Research date: 2026-09-09. Verify actual pricing/usage before spending.</xltc:text>
  </xltc:threadedComment>
  <xltc:threadedComment ref="B14" dT="2026-09-09T16:33:30.918" personId="{07A3FDD9-B195-4408-ABEC-44B952CE9F71}" id="{E9082C86-E150-0593-AFA2-7227531E9237}">
    <xltc:text>Source / rationale: Planning assumption; excludes unconsented, blocked, ineligible and low-value inventory. Research date: 2026-09-09. Verify actual pricing/usage before spending.</xltc:text>
  </xltc:threadedComment>
  <xltc:threadedComment ref="B15" dT="2026-09-09T16:33:30.918" personId="{07A3FDD9-B195-4408-ABEC-44B952CE9F71}" id="{CDCCC956-312C-8752-FD52-73CBDFE84CE6}">
    <xltc:text>Source / rationale: SPECULATIVE net publisher RPM; test range $3–8, no network quote. Research date: 2026-09-09. Verify actual pricing/usage before spending.</xltc:text>
  </xltc:threadedComment>
  <xltc:threadedComment ref="B16" dT="2026-09-09T16:33:30.918" personId="{07A3FDD9-B195-4408-ABEC-44B952CE9F71}" id="{756B0E53-1D3C-7160-E6B7-A3C44BD785B3}">
    <xltc:text>Source / rationale: Internal UX/economics gate, NOT network minimum. Research date: 2026-09-09. Verify actual pricing/usage before spending.</xltc:text>
  </xltc:threadedComment>
  <xltc:threadedComment ref="B17" dT="2026-09-09T16:33:30.918" personId="{07A3FDD9-B195-4408-ABEC-44B952CE9F71}" id="{58F3109F-0ED8-99E5-38A9-B98AACF0C096}">
    <xltc:text>Source / rationale: https://stripe.com/pricing (standard US domestic card assumption). Research date: 2026-09-09. Verify actual pricing/usage before spending.</xltc:text>
  </xltc:threadedComment>
  <xltc:threadedComment ref="B18" dT="2026-09-09T16:33:30.918" personId="{07A3FDD9-B195-4408-ABEC-44B952CE9F71}" id="{C443BBD5-DD54-C44A-35A5-82CFE23571B4}">
    <xltc:text>Source / rationale: https://stripe.com/pricing (one sponsor invoice/month and one premium charge/user/month). Research date: 2026-09-09. Verify actual pricing/usage before spending.</xltc:text>
  </xltc:threadedComment>
  <xltc:threadedComment ref="B19" dT="2026-09-09T16:33:30.918" personId="{07A3FDD9-B195-4408-ABEC-44B952CE9F71}" id="{FE4591D9-0A1C-841E-8C1B-29247CDFD4BB}">
    <xltc:text>Source / rationale: https://stripe.com/billing/pricing; additional to card processing. Research date: 2026-09-09. Verify actual pricing/usage before spending.</xltc:text>
  </xltc:threadedComment>
  <xltc:threadedComment ref="B20" dT="2026-09-09T16:33:30.918" personId="{07A3FDD9-B195-4408-ABEC-44B952CE9F71}" id="{B2C416FA-4179-DB7E-BEA1-92B4C8BB5C2C}">
    <xltc:text>Source / rationale: Price experiment assumption, NOT current product or approved price. Research date: 2026-09-09. Verify actual pricing/usage before spending.</xltc:text>
  </xltc:threadedComment>
  <xltc:threadedComment ref="B21" dT="2026-09-09T16:33:30.918" personId="{07A3FDD9-B195-4408-ABEC-44B952CE9F71}" id="{7CEB3BA6-5CE2-99BE-0940-ED70B66C7B31}">
    <xltc:text>Source / rationale: Planning budget: email/domain/books/tools/insurance accrual; replace with actual invoices. Research date: 2026-09-09. Verify actual pricing/usage before spending.</xltc:text>
  </xltc:threadedComment>
  <xltc:threadedComment ref="B22" dT="2026-09-09T16:33:30.918" personId="{07A3FDD9-B195-4408-ABEC-44B952CE9F71}" id="{23848A91-E9D5-7528-8D65-435ABCAFAAB4}">
    <xltc:text>Source / rationale: Unknown availability; planning limit ~20 hours/week. Research date: 2026-09-09. Verify actual pricing/usage before spending.</xltc:text>
  </xltc:threadedComment>
  <xltc:threadedComment ref="B23" dT="2026-09-09T16:33:30.918" personId="{07A3FDD9-B195-4408-ABEC-44B952CE9F71}" id="{52519FE6-F044-ABDA-5C99-FFFCCCBD34D2}">
    <xltc:text>Source / rationale: Founder-time sensitivity only; NOT salary paid or market quote. Research date: 2026-09-09. Verify actual pricing/usage before spending.</xltc:text>
  </xltc:threadedComment>
  <xltc:threadedComment ref="B24" dT="2026-09-09T16:33:30.918" personId="{07A3FDD9-B195-4408-ABEC-44B952CE9F71}" id="{C92A43EE-E0D5-FE56-3434-515C4D874A94}">
    <xltc:text>Source / rationale: Planning cash delay; actual booking completion/network terms differ. Research date: 2026-09-09. Verify actual pricing/usage before spending.</xltc:text>
  </xltc:threadedComment>
  <xltc:threadedComment ref="B25" dT="2026-09-09T16:33:30.918" personId="{07A3FDD9-B195-4408-ABEC-44B952CE9F71}" id="{C8C2AE8B-B91C-9F53-AB54-601BBC4612AA}">
    <xltc:text>Source / rationale: Planning cash delay, not contract-specific. Research date: 2026-09-09. Verify actual pricing/usage before spending.</xltc:text>
  </xltc:threadedComment>
  <xltc:threadedComment ref="B26" dT="2026-09-09T16:33:30.918" personId="{07A3FDD9-B195-4408-ABEC-44B952CE9F71}" id="{60BCA3ED-A829-A243-9DE0-41996BC695D4}">
    <xltc:text>Source / rationale: Unit conversion. Research date: 2026-09-09. Verify actual pricing/usage before spending.</xltc:text>
  </xltc:threadedComment>
  <xltc:threadedComment ref="B27" dT="2026-09-09T16:33:30.918" personId="{07A3FDD9-B195-4408-ABEC-44B952CE9F71}" id="{78897861-2199-9659-DC50-38A2A23BFA27}">
    <xltc:text>Source / rationale: Unit conversion. Research date: 2026-09-09. Verify actual pricing/usage before spending.</xltc:text>
  </xltc:threadedComment>
  <xltc:threadedComment ref="B28" dT="2026-09-09T16:33:30.918" personId="{07A3FDD9-B195-4408-ABEC-44B952CE9F71}" id="{3F20254A-B460-D592-9ED3-2D20153A998B}">
    <xltc:text>Source / rationale: Monthly upfront invoice assumption. Research date: 2026-09-09. Verify actual pricing/usage before spending.</xltc:text>
  </xltc:threadedComment>
  <xltc:threadedComment ref="B29" dT="2026-09-09T16:33:30.918" personId="{07A3FDD9-B195-4408-ABEC-44B952CE9F71}" id="{B63A832A-9510-8F48-2723-A49367DB5D84}">
    <xltc:text>Source / rationale: Monthly recurring plan, no annual prepaid accounting modeled. Research date: 2026-09-09. Verify actual pricing/usage before spending.</xltc:text>
  </xltc:threadedComment>
  <xltc:threadedComment ref="B30" dT="2026-09-09T16:33:38.377" personId="{07A3FDD9-B195-4408-ABEC-44B952CE9F71}" id="{771B781F-8DAD-63F7-2D0B-BAA2D77BCA11}">
    <xltc:text>Planning allocation, not vendor payment schedule</xltc:text>
  </xltc:threadedComment>
  <xltc:threadedComment ref="B31" dT="2026-09-09T16:33:38.377" personId="{07A3FDD9-B195-4408-ABEC-44B952CE9F71}" id="{4A3773F2-946F-B8B8-9AB1-EE8092C96C27}">
    <xltc:text>Planning allocation</xltc:text>
  </xltc:threadedComment>
  <xltc:threadedComment ref="B32" dT="2026-09-09T16:33:38.377" personId="{07A3FDD9-B195-4408-ABEC-44B952CE9F71}" id="{E5053D83-1DA9-C8A0-9F2D-A4397AB690E6}">
    <xltc:text>Internal gate for rights/contractor budget</xltc:text>
  </xltc:threadedComment>
  <xltc:threadedComment ref="B33" dT="2026-09-09T16:33:38.377" personId="{07A3FDD9-B195-4408-ABEC-44B952CE9F71}" id="{5C4075BB-75A4-10AA-528B-644BA3C97130}">
    <xltc:text>Year boundary</xltc:text>
  </xltc:threadedComment>
  <xltc:threadedComment ref="B34" dT="2026-09-09T16:33:38.377" personId="{07A3FDD9-B195-4408-ABEC-44B952CE9F71}" id="{6B29C9D0-07FC-D7AD-CB77-99ECB97660F5}">
    <xltc:text>Planning envelope, not vendor pricing</xltc:text>
  </xltc:threadedComment>
  <xltc:threadedComment ref="B35" dT="2026-09-09T16:33:38.377" personId="{07A3FDD9-B195-4408-ABEC-44B952CE9F71}" id="{979C4028-8904-FBF3-8FFB-3538C1871AAF}">
    <xltc:text>Planning envelope</xltc:text>
  </xltc:threadedComment>
  <xltc:threadedComment ref="B36" dT="2026-09-09T16:33:38.377" personId="{07A3FDD9-B195-4408-ABEC-44B952CE9F71}" id="{4EED2EEE-7EF3-AB88-B7FD-5C8EBFF60A61}">
    <xltc:text>Planning envelope</xltc:text>
  </xltc:threadedComment>
  <xltc:threadedComment ref="B37" dT="2026-09-09T16:33:38.377" personId="{07A3FDD9-B195-4408-ABEC-44B952CE9F71}" id="{3A6C488F-353F-061A-3F2E-BB8F75E409DC}">
    <xltc:text>Planning envelope for support/marketing; not a vendor quote</xltc:text>
  </xltc:threadedComment>
</xltc:ThreadedComments>
</file>

<file path=xl/threadedcomments/threadedcomment2.xml><?xml version="1.0" encoding="utf-8"?>
<xltc:ThreadedComments xmlns:xltc="http://schemas.microsoft.com/office/spreadsheetml/2018/threadedcomments">
  <xltc:threadedComment ref="B2" dT="2026-09-09T16:33:30.967" personId="{07A3FDD9-B195-4408-ABEC-44B952CE9F71}" id="{4996FE33-0EB9-74C8-131E-42DBCD890DA5}">
    <xltc:text>Hypothetical Conservative case assumption, not measured PeakCam data or vendor offer. See handbook section 07.</xltc:text>
  </xltc:threadedComment>
  <xltc:threadedComment ref="C2" dT="2026-09-09T16:33:30.968" personId="{07A3FDD9-B195-4408-ABEC-44B952CE9F71}" id="{610F6557-2A82-78AF-0C2F-418A3A03007A}">
    <xltc:text>Hypothetical Conservative case assumption, not measured PeakCam data or vendor offer. See handbook section 07.</xltc:text>
  </xltc:threadedComment>
  <xltc:threadedComment ref="D2" dT="2026-09-09T16:33:30.968" personId="{07A3FDD9-B195-4408-ABEC-44B952CE9F71}" id="{9198367B-DDCF-349C-5EAD-9C33809FAD92}">
    <xltc:text>Hypothetical Conservative case assumption, not measured PeakCam data or vendor offer. See handbook section 07.</xltc:text>
  </xltc:threadedComment>
  <xltc:threadedComment ref="E2" dT="2026-09-09T16:33:30.968" personId="{07A3FDD9-B195-4408-ABEC-44B952CE9F71}" id="{73467F55-8725-9A0E-6DC7-A7F40074A4FD}">
    <xltc:text>Hypothetical Conservative case assumption, not measured PeakCam data or vendor offer. See handbook section 07.</xltc:text>
  </xltc:threadedComment>
  <xltc:threadedComment ref="F2" dT="2026-09-09T16:33:30.968" personId="{07A3FDD9-B195-4408-ABEC-44B952CE9F71}" id="{116F9DD1-B946-93DD-1873-77927FB93DEF}">
    <xltc:text>Hypothetical Conservative case assumption, not measured PeakCam data or vendor offer. See handbook section 07.</xltc:text>
  </xltc:threadedComment>
  <xltc:threadedComment ref="G2" dT="2026-09-09T16:33:30.968" personId="{07A3FDD9-B195-4408-ABEC-44B952CE9F71}" id="{147A0D4D-1CF1-9BF4-AAFB-B28569C3AC02}">
    <xltc:text>Hypothetical Conservative case assumption, not measured PeakCam data or vendor offer. See handbook section 07.</xltc:text>
  </xltc:threadedComment>
  <xltc:threadedComment ref="H2" dT="2026-09-09T16:33:30.968" personId="{07A3FDD9-B195-4408-ABEC-44B952CE9F71}" id="{CB2874EA-7637-0DB5-A9C5-17FB108A5F93}">
    <xltc:text>Hypothetical Conservative case assumption, not measured PeakCam data or vendor offer. See handbook section 07.</xltc:text>
  </xltc:threadedComment>
  <xltc:threadedComment ref="I2" dT="2026-09-09T16:33:30.968" personId="{07A3FDD9-B195-4408-ABEC-44B952CE9F71}" id="{0E22D574-CC93-52E6-2757-E93BC14A3A07}">
    <xltc:text>Hypothetical Conservative case assumption, not measured PeakCam data or vendor offer. See handbook section 07.</xltc:text>
  </xltc:threadedComment>
  <xltc:threadedComment ref="J2" dT="2026-09-09T16:33:30.968" personId="{07A3FDD9-B195-4408-ABEC-44B952CE9F71}" id="{F8F1EF2A-102B-84E8-DA48-48A8D1AD9394}">
    <xltc:text>Hypothetical Conservative case assumption, not measured PeakCam data or vendor offer. See handbook section 07.</xltc:text>
  </xltc:threadedComment>
  <xltc:threadedComment ref="K2" dT="2026-09-09T16:33:30.968" personId="{07A3FDD9-B195-4408-ABEC-44B952CE9F71}" id="{2E83BF03-8F04-9763-BDB6-7467AE9281FA}">
    <xltc:text>Hypothetical Conservative case assumption, not measured PeakCam data or vendor offer. See handbook section 07.</xltc:text>
  </xltc:threadedComment>
  <xltc:threadedComment ref="L2" dT="2026-09-09T16:33:30.968" personId="{07A3FDD9-B195-4408-ABEC-44B952CE9F71}" id="{099CE443-EA43-D000-D06A-3CF7582A093D}">
    <xltc:text>Hypothetical Conservative case assumption, not measured PeakCam data or vendor offer. See handbook section 07.</xltc:text>
  </xltc:threadedComment>
  <xltc:threadedComment ref="M2" dT="2026-09-09T16:33:30.968" personId="{07A3FDD9-B195-4408-ABEC-44B952CE9F71}" id="{B8C9D5C0-F60F-0ECB-40E7-DEA5ABDC0758}">
    <xltc:text>Hypothetical Conservative case assumption, not measured PeakCam data or vendor offer. See handbook section 07.</xltc:text>
  </xltc:threadedComment>
  <xltc:threadedComment ref="N2" dT="2026-09-09T16:33:30.968" personId="{07A3FDD9-B195-4408-ABEC-44B952CE9F71}" id="{2DA90690-D8F8-7187-5DED-B4EBE32D6E41}">
    <xltc:text>Hypothetical Conservative case assumption, not measured PeakCam data or vendor offer. See handbook section 07.</xltc:text>
  </xltc:threadedComment>
  <xltc:threadedComment ref="O2" dT="2026-09-09T16:33:30.968" personId="{07A3FDD9-B195-4408-ABEC-44B952CE9F71}" id="{0B08B867-3F75-3AFA-CB6C-8206821EF6CA}">
    <xltc:text>Hypothetical Conservative case assumption, not measured PeakCam data or vendor offer. See handbook section 07.</xltc:text>
  </xltc:threadedComment>
  <xltc:threadedComment ref="P2" dT="2026-09-09T16:33:30.968" personId="{07A3FDD9-B195-4408-ABEC-44B952CE9F71}" id="{3F5E47D5-C35D-FAF5-0EEA-B075ABB4C394}">
    <xltc:text>Hypothetical Conservative case assumption, not measured PeakCam data or vendor offer. See handbook section 07.</xltc:text>
  </xltc:threadedComment>
  <xltc:threadedComment ref="B3" dT="2026-09-09T16:33:30.969" personId="{07A3FDD9-B195-4408-ABEC-44B952CE9F71}" id="{2BAA7DE4-9DCB-05A9-1152-7B2F6C1F27F1}">
    <xltc:text>Hypothetical Base case assumption, not measured PeakCam data or vendor offer. See handbook section 07.</xltc:text>
  </xltc:threadedComment>
  <xltc:threadedComment ref="C3" dT="2026-09-09T16:33:30.969" personId="{07A3FDD9-B195-4408-ABEC-44B952CE9F71}" id="{CD4C2D50-913D-2944-0467-2F198E66F499}">
    <xltc:text>Hypothetical Base case assumption, not measured PeakCam data or vendor offer. See handbook section 07.</xltc:text>
  </xltc:threadedComment>
  <xltc:threadedComment ref="D3" dT="2026-09-09T16:33:30.969" personId="{07A3FDD9-B195-4408-ABEC-44B952CE9F71}" id="{B901B8E6-3E58-4F13-D59B-A825DF671F8D}">
    <xltc:text>Hypothetical Base case assumption, not measured PeakCam data or vendor offer. See handbook section 07.</xltc:text>
  </xltc:threadedComment>
  <xltc:threadedComment ref="E3" dT="2026-09-09T16:33:30.969" personId="{07A3FDD9-B195-4408-ABEC-44B952CE9F71}" id="{E706796B-233A-4D8E-7B59-3DAFC1F96EA2}">
    <xltc:text>Hypothetical Base case assumption, not measured PeakCam data or vendor offer. See handbook section 07.</xltc:text>
  </xltc:threadedComment>
  <xltc:threadedComment ref="F3" dT="2026-09-09T16:33:30.969" personId="{07A3FDD9-B195-4408-ABEC-44B952CE9F71}" id="{638BFD4B-33E7-9EFB-AF9E-3366B88365FC}">
    <xltc:text>Hypothetical Base case assumption, not measured PeakCam data or vendor offer. See handbook section 07.</xltc:text>
  </xltc:threadedComment>
  <xltc:threadedComment ref="G3" dT="2026-09-09T16:33:30.97" personId="{07A3FDD9-B195-4408-ABEC-44B952CE9F71}" id="{66F571F9-086B-FBC4-E989-21F25A356CC6}">
    <xltc:text>Hypothetical Base case assumption, not measured PeakCam data or vendor offer. See handbook section 07.</xltc:text>
  </xltc:threadedComment>
  <xltc:threadedComment ref="H3" dT="2026-09-09T16:33:30.97" personId="{07A3FDD9-B195-4408-ABEC-44B952CE9F71}" id="{A82756AA-DD5D-85BD-FFDE-93A19AF19E52}">
    <xltc:text>Hypothetical Base case assumption, not measured PeakCam data or vendor offer. See handbook section 07.</xltc:text>
  </xltc:threadedComment>
  <xltc:threadedComment ref="I3" dT="2026-09-09T16:33:30.97" personId="{07A3FDD9-B195-4408-ABEC-44B952CE9F71}" id="{5D9CAC83-E620-B748-0E69-DE9723B5C6DF}">
    <xltc:text>Hypothetical Base case assumption, not measured PeakCam data or vendor offer. See handbook section 07.</xltc:text>
  </xltc:threadedComment>
  <xltc:threadedComment ref="J3" dT="2026-09-09T16:33:30.97" personId="{07A3FDD9-B195-4408-ABEC-44B952CE9F71}" id="{B907ABEF-982B-55AD-C50D-4A40A5573504}">
    <xltc:text>Hypothetical Base case assumption, not measured PeakCam data or vendor offer. See handbook section 07.</xltc:text>
  </xltc:threadedComment>
  <xltc:threadedComment ref="K3" dT="2026-09-09T16:33:30.97" personId="{07A3FDD9-B195-4408-ABEC-44B952CE9F71}" id="{BD5B001A-F2E3-017D-4431-5011D120343E}">
    <xltc:text>Hypothetical Base case assumption, not measured PeakCam data or vendor offer. See handbook section 07.</xltc:text>
  </xltc:threadedComment>
  <xltc:threadedComment ref="L3" dT="2026-09-09T16:33:30.97" personId="{07A3FDD9-B195-4408-ABEC-44B952CE9F71}" id="{3E1590A3-77F5-4762-AEBE-D2443C835AAD}">
    <xltc:text>Hypothetical Base case assumption, not measured PeakCam data or vendor offer. See handbook section 07.</xltc:text>
  </xltc:threadedComment>
  <xltc:threadedComment ref="M3" dT="2026-09-09T16:33:30.97" personId="{07A3FDD9-B195-4408-ABEC-44B952CE9F71}" id="{743AEC21-C8D2-7724-705E-AA6BC043CE23}">
    <xltc:text>Hypothetical Base case assumption, not measured PeakCam data or vendor offer. See handbook section 07.</xltc:text>
  </xltc:threadedComment>
  <xltc:threadedComment ref="N3" dT="2026-09-09T16:33:30.97" personId="{07A3FDD9-B195-4408-ABEC-44B952CE9F71}" id="{34DA8016-0A18-8250-09BE-DC0458AE1236}">
    <xltc:text>Hypothetical Base case assumption, not measured PeakCam data or vendor offer. See handbook section 07.</xltc:text>
  </xltc:threadedComment>
  <xltc:threadedComment ref="O3" dT="2026-09-09T16:33:30.97" personId="{07A3FDD9-B195-4408-ABEC-44B952CE9F71}" id="{EDE93268-C669-A484-DB84-90E73F294EB6}">
    <xltc:text>Hypothetical Base case assumption, not measured PeakCam data or vendor offer. See handbook section 07.</xltc:text>
  </xltc:threadedComment>
  <xltc:threadedComment ref="P3" dT="2026-09-09T16:33:30.97" personId="{07A3FDD9-B195-4408-ABEC-44B952CE9F71}" id="{8D412DF2-0F2E-2683-586A-C1358BCCCA73}">
    <xltc:text>Hypothetical Base case assumption, not measured PeakCam data or vendor offer. See handbook section 07.</xltc:text>
  </xltc:threadedComment>
  <xltc:threadedComment ref="B4" dT="2026-09-09T16:33:30.971" personId="{07A3FDD9-B195-4408-ABEC-44B952CE9F71}" id="{37CA62D0-DB94-70C1-652C-CA8C94C1B1C3}">
    <xltc:text>Hypothetical Breakout case assumption, not measured PeakCam data or vendor offer. See handbook section 07.</xltc:text>
  </xltc:threadedComment>
  <xltc:threadedComment ref="C4" dT="2026-09-09T16:33:30.971" personId="{07A3FDD9-B195-4408-ABEC-44B952CE9F71}" id="{210F2E83-57EF-8AB0-C453-C19C544397BD}">
    <xltc:text>Hypothetical Breakout case assumption, not measured PeakCam data or vendor offer. See handbook section 07.</xltc:text>
  </xltc:threadedComment>
  <xltc:threadedComment ref="D4" dT="2026-09-09T16:33:30.971" personId="{07A3FDD9-B195-4408-ABEC-44B952CE9F71}" id="{1E2E19F3-711A-567F-49F2-81DFE0B61727}">
    <xltc:text>Hypothetical Breakout case assumption, not measured PeakCam data or vendor offer. See handbook section 07.</xltc:text>
  </xltc:threadedComment>
  <xltc:threadedComment ref="E4" dT="2026-09-09T16:33:30.971" personId="{07A3FDD9-B195-4408-ABEC-44B952CE9F71}" id="{4F5C0CC4-13CD-74A0-DB62-27225F1A54E9}">
    <xltc:text>Hypothetical Breakout case assumption, not measured PeakCam data or vendor offer. See handbook section 07.</xltc:text>
  </xltc:threadedComment>
  <xltc:threadedComment ref="F4" dT="2026-09-09T16:33:30.971" personId="{07A3FDD9-B195-4408-ABEC-44B952CE9F71}" id="{12967932-9E74-F081-F2FD-7B5B8EE9F47C}">
    <xltc:text>Hypothetical Breakout case assumption, not measured PeakCam data or vendor offer. See handbook section 07.</xltc:text>
  </xltc:threadedComment>
  <xltc:threadedComment ref="G4" dT="2026-09-09T16:33:30.971" personId="{07A3FDD9-B195-4408-ABEC-44B952CE9F71}" id="{D3E765FC-75CA-CAA0-6AC9-746BAA27590F}">
    <xltc:text>Hypothetical Breakout case assumption, not measured PeakCam data or vendor offer. See handbook section 07.</xltc:text>
  </xltc:threadedComment>
  <xltc:threadedComment ref="H4" dT="2026-09-09T16:33:30.971" personId="{07A3FDD9-B195-4408-ABEC-44B952CE9F71}" id="{176C845D-E22C-CB43-EA52-C5BB4AE2D9BA}">
    <xltc:text>Hypothetical Breakout case assumption, not measured PeakCam data or vendor offer. See handbook section 07.</xltc:text>
  </xltc:threadedComment>
  <xltc:threadedComment ref="I4" dT="2026-09-09T16:33:30.971" personId="{07A3FDD9-B195-4408-ABEC-44B952CE9F71}" id="{7D57A8B8-988B-D3D8-97D1-A8158564D065}">
    <xltc:text>Hypothetical Breakout case assumption, not measured PeakCam data or vendor offer. See handbook section 07.</xltc:text>
  </xltc:threadedComment>
  <xltc:threadedComment ref="J4" dT="2026-09-09T16:33:30.971" personId="{07A3FDD9-B195-4408-ABEC-44B952CE9F71}" id="{2DF68E76-DE3C-D00A-0834-92D10DF84686}">
    <xltc:text>Hypothetical Breakout case assumption, not measured PeakCam data or vendor offer. See handbook section 07.</xltc:text>
  </xltc:threadedComment>
  <xltc:threadedComment ref="K4" dT="2026-09-09T16:33:30.971" personId="{07A3FDD9-B195-4408-ABEC-44B952CE9F71}" id="{440A4D27-23CE-4886-E14D-30EFDBA4329E}">
    <xltc:text>Hypothetical Breakout case assumption, not measured PeakCam data or vendor offer. See handbook section 07.</xltc:text>
  </xltc:threadedComment>
  <xltc:threadedComment ref="L4" dT="2026-09-09T16:33:30.971" personId="{07A3FDD9-B195-4408-ABEC-44B952CE9F71}" id="{5D3900E2-6A01-9A57-C83F-B756E5B2B185}">
    <xltc:text>Hypothetical Breakout case assumption, not measured PeakCam data or vendor offer. See handbook section 07.</xltc:text>
  </xltc:threadedComment>
  <xltc:threadedComment ref="M4" dT="2026-09-09T16:33:30.971" personId="{07A3FDD9-B195-4408-ABEC-44B952CE9F71}" id="{AD18B2C7-BCC2-CE35-B41A-371DC151DC3D}">
    <xltc:text>Hypothetical Breakout case assumption, not measured PeakCam data or vendor offer. See handbook section 07.</xltc:text>
  </xltc:threadedComment>
  <xltc:threadedComment ref="N4" dT="2026-09-09T16:33:30.971" personId="{07A3FDD9-B195-4408-ABEC-44B952CE9F71}" id="{9751E3ED-5F07-D8A1-5C72-1A6AB8A15A88}">
    <xltc:text>Hypothetical Breakout case assumption, not measured PeakCam data or vendor offer. See handbook section 07.</xltc:text>
  </xltc:threadedComment>
  <xltc:threadedComment ref="O4" dT="2026-09-09T16:33:30.971" personId="{07A3FDD9-B195-4408-ABEC-44B952CE9F71}" id="{102A63FD-A4F5-9982-DEA5-9054062BA636}">
    <xltc:text>Hypothetical Breakout case assumption, not measured PeakCam data or vendor offer. See handbook section 07.</xltc:text>
  </xltc:threadedComment>
  <xltc:threadedComment ref="P4" dT="2026-09-09T16:33:30.971" personId="{07A3FDD9-B195-4408-ABEC-44B952CE9F71}" id="{EDED846A-2FE9-22FB-89E0-7431955F417E}">
    <xltc:text>Hypothetical Breakout case assumption, not measured PeakCam data or vendor offer. See handbook section 07.</xltc:text>
  </xltc:threadedComment>
</xltc:ThreadedComments>
</file>

<file path=xl/threadedcomments/threadedcomment3.xml><?xml version="1.0" encoding="utf-8"?>
<xltc:ThreadedComments xmlns:xltc="http://schemas.microsoft.com/office/spreadsheetml/2018/threadedcomments">
  <xltc:threadedComment ref="D2" dT="2026-09-09T16:33:33.455" personId="{07A3FDD9-B195-4408-ABEC-44B952CE9F71}" id="{1701EB94-F889-7F12-4804-5DDEFD886710}">
    <xltc:text>MAU curve is an editable seasonal scenario. September value is NOT measured traffic. No actual historical analytics was available.</xltc:text>
  </xltc:threadedComment>
  <xltc:threadedComment ref="K2" dT="2026-09-09T16:33:33.455" personId="{07A3FDD9-B195-4408-ABEC-44B952CE9F71}" id="{84F299C9-1DCC-8068-164D-06B83F4B846F}">
    <xltc:text>Active sponsor counts are hypothetical signed-and-paying targets, not current partnerships.</xltc:text>
  </xltc:threadedComment>
</xltc:ThreadedComments>
</file>

<file path=xl/threadedcomments/threadedcomment4.xml><?xml version="1.0" encoding="utf-8"?>
<xltc:ThreadedComments xmlns:xltc="http://schemas.microsoft.com/office/spreadsheetml/2018/threadedcomments">
  <xltc:threadedComment ref="D2" dT="2026-09-09T16:33:35.699" personId="{07A3FDD9-B195-4408-ABEC-44B952CE9F71}" id="{7FFB2C6D-B763-CD21-9728-43AEBE1AE856}">
    <xltc:text>MAU curve is an editable seasonal scenario. September value is NOT measured traffic. No actual historical analytics was available.</xltc:text>
  </xltc:threadedComment>
  <xltc:threadedComment ref="K2" dT="2026-09-09T16:33:35.699" personId="{07A3FDD9-B195-4408-ABEC-44B952CE9F71}" id="{D85D1670-4795-CFF3-1C09-AF1AD7041B86}">
    <xltc:text>Active sponsor counts are hypothetical signed-and-paying targets, not current partnerships.</xltc:text>
  </xltc:threadedComment>
</xltc:ThreadedComments>
</file>

<file path=xl/threadedcomments/threadedcomment5.xml><?xml version="1.0" encoding="utf-8"?>
<xltc:ThreadedComments xmlns:xltc="http://schemas.microsoft.com/office/spreadsheetml/2018/threadedcomments">
  <xltc:threadedComment ref="D2" dT="2026-09-09T16:33:37.952" personId="{07A3FDD9-B195-4408-ABEC-44B952CE9F71}" id="{A505DAA9-17CF-9C5F-36BB-7ED82581CC23}">
    <xltc:text>MAU curve is an editable seasonal scenario. September value is NOT measured traffic. No actual historical analytics was available.</xltc:text>
  </xltc:threadedComment>
  <xltc:threadedComment ref="K2" dT="2026-09-09T16:33:37.952" personId="{07A3FDD9-B195-4408-ABEC-44B952CE9F71}" id="{78543F57-5603-E8D4-EB6C-B10228AAE761}">
    <xltc:text>Active sponsor counts are hypothetical signed-and-paying targets, not current partnerships.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7baf513bb2654a2f" /><Relationship Type="http://schemas.openxmlformats.org/officeDocument/2006/relationships/table" Target="/xl/tables/table1.xml" Id="R699f28e14b134f1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1.xml" Id="R3d68d7ed9d11427a" /><Relationship Type="http://schemas.openxmlformats.org/officeDocument/2006/relationships/vmlDrawing" Target="/xl/drawings/vmldrawing.vml" Id="R821505c5ff214219" /><Relationship Type="http://schemas.microsoft.com/office/2017/10/relationships/threadedComment" Target="/xl/threadedcomments/threadedcomment.xml" Id="Rb581ca3602a44dd9" /><Relationship Type="http://schemas.openxmlformats.org/officeDocument/2006/relationships/table" Target="/xl/tables/table2.xml" Id="Radf471f4f92b411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comments" Target="/xl/comments2.xml" Id="R7de30cfe535a497f" /><Relationship Type="http://schemas.openxmlformats.org/officeDocument/2006/relationships/vmlDrawing" Target="/xl/drawings/vmldrawing2.vml" Id="Rb4ef7bf78bcb47e3" /><Relationship Type="http://schemas.microsoft.com/office/2017/10/relationships/threadedComment" Target="/xl/threadedcomments/threadedcomment2.xml" Id="R4d37ddfe090c4810" /><Relationship Type="http://schemas.openxmlformats.org/officeDocument/2006/relationships/table" Target="/xl/tables/table3.xml" Id="R3f2c4efcbd4346a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comments" Target="/xl/comments3.xml" Id="Rfc018a83948745c4" /><Relationship Type="http://schemas.openxmlformats.org/officeDocument/2006/relationships/vmlDrawing" Target="/xl/drawings/vmldrawing3.vml" Id="Ra8f14613daf04510" /><Relationship Type="http://schemas.microsoft.com/office/2017/10/relationships/threadedComment" Target="/xl/threadedcomments/threadedcomment3.xml" Id="Rfd058f1efa9e4f79" /><Relationship Type="http://schemas.openxmlformats.org/officeDocument/2006/relationships/table" Target="/xl/tables/table4.xml" Id="Rce3170e5da5a4b0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comments" Target="/xl/comments4.xml" Id="Re0bcf46251d4451c" /><Relationship Type="http://schemas.openxmlformats.org/officeDocument/2006/relationships/vmlDrawing" Target="/xl/drawings/vmldrawing4.vml" Id="R1589a5228add4ead" /><Relationship Type="http://schemas.microsoft.com/office/2017/10/relationships/threadedComment" Target="/xl/threadedcomments/threadedcomment4.xml" Id="Rae4ef9f565364751" /><Relationship Type="http://schemas.openxmlformats.org/officeDocument/2006/relationships/table" Target="/xl/tables/table5.xml" Id="Rf281fb3e1878433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comments" Target="/xl/comments5.xml" Id="R017e66508fea4253" /><Relationship Type="http://schemas.openxmlformats.org/officeDocument/2006/relationships/vmlDrawing" Target="/xl/drawings/vmldrawing5.vml" Id="Rab74e3af20d44e25" /><Relationship Type="http://schemas.microsoft.com/office/2017/10/relationships/threadedComment" Target="/xl/threadedcomments/threadedcomment5.xml" Id="Rb2448b9dc59244b9" /><Relationship Type="http://schemas.openxmlformats.org/officeDocument/2006/relationships/table" Target="/xl/tables/table6.xml" Id="Ra5cd60ff00d743b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350a5a009a484ba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a1de52e91edf47b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777f6bf6d3504e5d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afc80054a332413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61d857297809466a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4c8470fcc0104847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af66a8180a574ce6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42" customHeight="1">
      <x:c r="A1" s="9" t="str">
        <x:v>Case</x:v>
      </x:c>
      <x:c r="B1" s="9" t="str">
        <x:v>Horizon months</x:v>
      </x:c>
      <x:c r="C1" s="9" t="str">
        <x:v>Earned revenue ($)</x:v>
      </x:c>
      <x:c r="D1" s="9" t="str">
        <x:v>Operating result ($)</x:v>
      </x:c>
      <x:c r="E1" s="9" t="str">
        <x:v>Cash receipts ($)</x:v>
      </x:c>
      <x:c r="F1" s="9" t="str">
        <x:v>Net cash ($)</x:v>
      </x:c>
      <x:c r="G1" s="9" t="str">
        <x:v>Peak funding need ($)</x:v>
      </x:c>
      <x:c r="H1" s="9" t="str">
        <x:v>After founder time ($)</x:v>
      </x:c>
    </x:row>
    <x:row r="2" ht="32" customHeight="1">
      <x:c r="A2" s="4" t="str">
        <x:v>Conservative</x:v>
      </x:c>
      <x:c r="B2" s="4" t="n">
        <x:v>6</x:v>
      </x:c>
      <x:c r="C2" s="32" t="n">
        <x:f>SUM('Conservative'!P2:P7)</x:f>
        <x:v>91.875</x:v>
      </x:c>
      <x:c r="D2" s="32" t="n">
        <x:f>SUM('Conservative'!AB2:AB7)</x:f>
        <x:v>-1193.8999999999999</x:v>
      </x:c>
      <x:c r="E2" s="32" t="n">
        <x:f>SUM('Conservative'!AC2:AC7)</x:f>
        <x:v>79.725</x:v>
      </x:c>
      <x:c r="F2" s="32" t="n">
        <x:f>SUM('Conservative'!AE2:AE7)</x:f>
        <x:v>-1206.05</x:v>
      </x:c>
      <x:c r="G2" s="32" t="n">
        <x:f>MAX(0,-MIN('Conservative'!AF2:AF7))</x:f>
        <x:v>1206.05</x:v>
      </x:c>
      <x:c r="H2" s="32" t="n">
        <x:f>SUM('Conservative'!AH2:AH7)</x:f>
        <x:v>-25193.899999999994</x:v>
      </x:c>
    </x:row>
    <x:row r="3" ht="32" customHeight="1">
      <x:c r="A3" s="4" t="str">
        <x:v>Conservative</x:v>
      </x:c>
      <x:c r="B3" s="4" t="n">
        <x:v>12</x:v>
      </x:c>
      <x:c r="C3" s="32" t="n">
        <x:f>SUM('Conservative'!P2:P13)</x:f>
        <x:v>175.7175</x:v>
      </x:c>
      <x:c r="D3" s="32" t="n">
        <x:f>SUM('Conservative'!AB2:AB13)</x:f>
        <x:v>-1889.0824999999998</x:v>
      </x:c>
      <x:c r="E3" s="32" t="n">
        <x:f>SUM('Conservative'!AC2:AC13)</x:f>
        <x:v>174.7725</x:v>
      </x:c>
      <x:c r="F3" s="32" t="n">
        <x:f>SUM('Conservative'!AE2:AE13)</x:f>
        <x:v>-1890.0275000000001</x:v>
      </x:c>
      <x:c r="G3" s="32" t="n">
        <x:f>MAX(0,-MIN('Conservative'!AF2:AF13))</x:f>
        <x:v>1890.0275000000001</x:v>
      </x:c>
      <x:c r="H3" s="32" t="n">
        <x:f>SUM('Conservative'!AH2:AH13)</x:f>
        <x:v>-49889.08249999999</x:v>
      </x:c>
    </x:row>
    <x:row r="4" ht="32" customHeight="1">
      <x:c r="A4" s="4" t="str">
        <x:v>Conservative</x:v>
      </x:c>
      <x:c r="B4" s="4" t="n">
        <x:v>24</x:v>
      </x:c>
      <x:c r="C4" s="32" t="n">
        <x:f>SUM('Conservative'!P2:P25)</x:f>
        <x:v>1037.1674999999996</x:v>
      </x:c>
      <x:c r="D4" s="32" t="n">
        <x:f>SUM('Conservative'!AB2:AB25)</x:f>
        <x:v>-2733.8324999999995</x:v>
      </x:c>
      <x:c r="E4" s="32" t="n">
        <x:f>SUM('Conservative'!AC2:AC25)</x:f>
        <x:v>1035.4124999999997</x:v>
      </x:c>
      <x:c r="F4" s="32" t="n">
        <x:f>SUM('Conservative'!AE2:AE25)</x:f>
        <x:v>-2735.587500000001</x:v>
      </x:c>
      <x:c r="G4" s="32" t="n">
        <x:f>MAX(0,-MIN('Conservative'!AF2:AF25))</x:f>
        <x:v>2735.587500000001</x:v>
      </x:c>
      <x:c r="H4" s="32" t="n">
        <x:f>SUM('Conservative'!AH2:AH25)</x:f>
        <x:v>-98733.83249999999</x:v>
      </x:c>
    </x:row>
    <x:row r="5" ht="32" customHeight="1">
      <x:c r="A5" s="4" t="str">
        <x:v>Base</x:v>
      </x:c>
      <x:c r="B5" s="4" t="n">
        <x:v>6</x:v>
      </x:c>
      <x:c r="C5" s="32" t="n">
        <x:f>SUM('Base'!P2:P7)</x:f>
        <x:v>2660</x:v>
      </x:c>
      <x:c r="D5" s="32" t="n">
        <x:f>SUM('Base'!AB2:AB7)</x:f>
        <x:v>-3006.8999999999996</x:v>
      </x:c>
      <x:c r="E5" s="32" t="n">
        <x:f>SUM('Base'!AC2:AC7)</x:f>
        <x:v>1482.5</x:v>
      </x:c>
      <x:c r="F5" s="32" t="n">
        <x:f>SUM('Base'!AE2:AE7)</x:f>
        <x:v>-4184.4</x:v>
      </x:c>
      <x:c r="G5" s="32" t="n">
        <x:f>MAX(0,-MIN('Base'!AF2:AF7))</x:f>
        <x:v>4427.95</x:v>
      </x:c>
      <x:c r="H5" s="32" t="n">
        <x:f>SUM('Base'!AH2:AH7)</x:f>
        <x:v>-27006.9</x:v>
      </x:c>
    </x:row>
    <x:row r="6" ht="32" customHeight="1">
      <x:c r="A6" s="4" t="str">
        <x:v>Base</x:v>
      </x:c>
      <x:c r="B6" s="4" t="n">
        <x:v>12</x:v>
      </x:c>
      <x:c r="C6" s="32" t="n">
        <x:f>SUM('Base'!P2:P13)</x:f>
        <x:v>4505.5</x:v>
      </x:c>
      <x:c r="D6" s="32" t="n">
        <x:f>SUM('Base'!AB2:AB13)</x:f>
        <x:v>-4273.15</x:v>
      </x:c>
      <x:c r="E6" s="32" t="n">
        <x:f>SUM('Base'!AC2:AC13)</x:f>
        <x:v>4450.5</x:v>
      </x:c>
      <x:c r="F6" s="32" t="n">
        <x:f>SUM('Base'!AE2:AE13)</x:f>
        <x:v>-4328.15</x:v>
      </x:c>
      <x:c r="G6" s="32" t="n">
        <x:f>MAX(0,-MIN('Base'!AF2:AF13))</x:f>
        <x:v>4427.95</x:v>
      </x:c>
      <x:c r="H6" s="32" t="n">
        <x:f>SUM('Base'!AH2:AH13)</x:f>
        <x:v>-52273.15</x:v>
      </x:c>
    </x:row>
    <x:row r="7" ht="32" customHeight="1">
      <x:c r="A7" s="4" t="str">
        <x:v>Base</x:v>
      </x:c>
      <x:c r="B7" s="4" t="n">
        <x:v>24</x:v>
      </x:c>
      <x:c r="C7" s="32" t="n">
        <x:f>SUM('Base'!P2:P25)</x:f>
        <x:v>29575.5</x:v>
      </x:c>
      <x:c r="D7" s="32" t="n">
        <x:f>SUM('Base'!AB2:AB25)</x:f>
        <x:v>12726.15</x:v>
      </x:c>
      <x:c r="E7" s="32" t="n">
        <x:f>SUM('Base'!AC2:AC25)</x:f>
        <x:v>29250.5</x:v>
      </x:c>
      <x:c r="F7" s="32" t="n">
        <x:f>SUM('Base'!AE2:AE25)</x:f>
        <x:v>12401.15</x:v>
      </x:c>
      <x:c r="G7" s="32" t="n">
        <x:f>MAX(0,-MIN('Base'!AF2:AF25))</x:f>
        <x:v>4775.8</x:v>
      </x:c>
      <x:c r="H7" s="32" t="n">
        <x:f>SUM('Base'!AH2:AH25)</x:f>
        <x:v>-83273.85</x:v>
      </x:c>
    </x:row>
    <x:row r="8" ht="32" customHeight="1">
      <x:c r="A8" s="4" t="str">
        <x:v>Breakout</x:v>
      </x:c>
      <x:c r="B8" s="4" t="n">
        <x:v>6</x:v>
      </x:c>
      <x:c r="C8" s="32" t="n">
        <x:f>SUM('Breakout'!P2:P7)</x:f>
        <x:v>11692.75</x:v>
      </x:c>
      <x:c r="D8" s="32" t="n">
        <x:f>SUM('Breakout'!AB2:AB7)</x:f>
        <x:v>-7987.318999999999</x:v>
      </x:c>
      <x:c r="E8" s="32" t="n">
        <x:f>SUM('Breakout'!AC2:AC7)</x:f>
        <x:v>6382.75</x:v>
      </x:c>
      <x:c r="F8" s="32" t="n">
        <x:f>SUM('Breakout'!AE2:AE7)</x:f>
        <x:v>-13297.319</x:v>
      </x:c>
      <x:c r="G8" s="32" t="n">
        <x:f>MAX(0,-MIN('Breakout'!AF2:AF7))</x:f>
        <x:v>14541.849999999999</x:v>
      </x:c>
      <x:c r="H8" s="32" t="n">
        <x:f>SUM('Breakout'!AH2:AH7)</x:f>
        <x:v>-31987.319000000003</x:v>
      </x:c>
    </x:row>
    <x:row r="9" ht="32" customHeight="1">
      <x:c r="A9" s="4" t="str">
        <x:v>Breakout</x:v>
      </x:c>
      <x:c r="B9" s="4" t="n">
        <x:v>12</x:v>
      </x:c>
      <x:c r="C9" s="32" t="n">
        <x:f>SUM('Breakout'!P2:P13)</x:f>
        <x:v>21267.275</x:v>
      </x:c>
      <x:c r="D9" s="32" t="n">
        <x:f>SUM('Breakout'!AB2:AB13)</x:f>
        <x:v>-11246.418899999999</x:v>
      </x:c>
      <x:c r="E9" s="32" t="n">
        <x:f>SUM('Breakout'!AC2:AC13)</x:f>
        <x:v>20584.775</x:v>
      </x:c>
      <x:c r="F9" s="32" t="n">
        <x:f>SUM('Breakout'!AE2:AE13)</x:f>
        <x:v>-11928.9189</x:v>
      </x:c>
      <x:c r="G9" s="32" t="n">
        <x:f>MAX(0,-MIN('Breakout'!AF2:AF13))</x:f>
        <x:v>14541.849999999999</x:v>
      </x:c>
      <x:c r="H9" s="32" t="n">
        <x:f>SUM('Breakout'!AH2:AH13)</x:f>
        <x:v>-59246.41890000001</x:v>
      </x:c>
    </x:row>
    <x:row r="10" ht="32" customHeight="1">
      <x:c r="A10" s="4" t="str">
        <x:v>Breakout</x:v>
      </x:c>
      <x:c r="B10" s="4" t="n">
        <x:v>24</x:v>
      </x:c>
      <x:c r="C10" s="32" t="n">
        <x:f>SUM('Breakout'!P2:P25)</x:f>
        <x:v>170530.525</x:v>
      </x:c>
      <x:c r="D10" s="32" t="n">
        <x:f>SUM('Breakout'!AB2:AB25)</x:f>
        <x:v>102184.29409999998</x:v>
      </x:c>
      <x:c r="E10" s="32" t="n">
        <x:f>SUM('Breakout'!AC2:AC25)</x:f>
        <x:v>168213.025</x:v>
      </x:c>
      <x:c r="F10" s="32" t="n">
        <x:f>SUM('Breakout'!AE2:AE25)</x:f>
        <x:v>99866.7941</x:v>
      </x:c>
      <x:c r="G10" s="32" t="n">
        <x:f>MAX(0,-MIN('Breakout'!AF2:AF25))</x:f>
        <x:v>14541.849999999999</x:v>
      </x:c>
      <x:c r="H10" s="32" t="n">
        <x:f>SUM('Breakout'!AH2:AH25)</x:f>
        <x:v>6184.294099999986</x:v>
      </x:c>
    </x:row>
    <x:row r="12" ht="28" customHeight="1">
      <x:c r="A12" s="13" t="str">
        <x:v>SCENARIOS, NOT ACTUAL RESULTS — September 2026 to August 2028</x:v>
      </x:c>
      <x:c r="B12" s="13"/>
      <x:c r="C12" s="13"/>
      <x:c r="D12" s="13"/>
      <x:c r="E12" s="13"/>
      <x:c r="F12" s="13"/>
      <x:c r="G12" s="13"/>
      <x:c r="H12" s="13"/>
    </x:row>
    <x:row r="14" ht="30" customHeight="1">
      <x:c r="A14" s="16" t="str">
        <x:v>Blue = editable assumptions. Green = formula linked to another sheet. Black = local formula. Financial values are USD.</x:v>
      </x:c>
      <x:c r="B14" s="16"/>
      <x:c r="C14" s="16"/>
      <x:c r="D14" s="16"/>
      <x:c r="E14" s="16"/>
      <x:c r="F14" s="16"/>
      <x:c r="G14" s="16"/>
      <x:c r="H14" s="16"/>
    </x:row>
    <x:row r="15" ht="30" customHeight="1">
      <x:c r="A15" s="16" t="str">
        <x:v>Actual traffic, revenue, bills and founder availability are UNKNOWN. No outreach, repo edit or deployment performed.</x:v>
      </x:c>
      <x:c r="B15" s="16"/>
      <x:c r="C15" s="16"/>
      <x:c r="D15" s="16"/>
      <x:c r="E15" s="16"/>
      <x:c r="F15" s="16"/>
      <x:c r="G15" s="16"/>
      <x:c r="H15" s="16"/>
    </x:row>
    <x:row r="16" ht="30" customHeight="1">
      <x:c r="A16" s="16" t="str">
        <x:v>Operating result excludes founder pay and tax. Founder sensitivity assumes 80 hours/month at $50/hour, not a paid salary.</x:v>
      </x:c>
      <x:c r="B16" s="16"/>
      <x:c r="C16" s="16"/>
      <x:c r="D16" s="16"/>
      <x:c r="E16" s="16"/>
      <x:c r="F16" s="16"/>
      <x:c r="G16" s="16"/>
      <x:c r="H16" s="16"/>
    </x:row>
    <x:row r="17" ht="30" customHeight="1">
      <x:c r="A17" s="16" t="str">
        <x:v>Affiliate cash is delayed 2 months; ad cash 1 month. Change the lag assumptions to stress funding needs.</x:v>
      </x:c>
      <x:c r="B17" s="16"/>
      <x:c r="C17" s="16"/>
      <x:c r="D17" s="16"/>
      <x:c r="E17" s="16"/>
      <x:c r="F17" s="16"/>
      <x:c r="G17" s="16"/>
      <x:c r="H17" s="16"/>
    </x:row>
    <x:row r="18" ht="30" customHeight="1">
      <x:c r="A18" s="16" t="str">
        <x:v>Core video is loaded from third-party sources, not hosted/proxied by PeakCam in the audited implementation.</x:v>
      </x:c>
      <x:c r="B18" s="16"/>
      <x:c r="C18" s="16"/>
      <x:c r="D18" s="16"/>
      <x:c r="E18" s="16"/>
      <x:c r="F18" s="16"/>
      <x:c r="G18" s="16"/>
      <x:c r="H18" s="16"/>
    </x:row>
    <x:row r="19" ht="30" customHeight="1">
      <x:c r="A19" s="16" t="str">
        <x:v>Vercel Flat Rate CDN assumes adoption by this team and unused shared capacity; verify the actual billing plan.</x:v>
      </x:c>
      <x:c r="B19" s="16"/>
      <x:c r="C19" s="16"/>
      <x:c r="D19" s="16"/>
      <x:c r="E19" s="16"/>
      <x:c r="F19" s="16"/>
      <x:c r="G19" s="16"/>
      <x:c r="H19" s="16"/>
    </x:row>
    <x:row r="20" ht="30" customHeight="1">
      <x:c r="A20" s="16" t="str">
        <x:v>Ads, sponsorship and premium depend on acceptance, rights and measured demand. Set their assumptions to zero for downside.</x:v>
      </x:c>
      <x:c r="B20" s="16"/>
      <x:c r="C20" s="16"/>
      <x:c r="D20" s="16"/>
      <x:c r="E20" s="16"/>
      <x:c r="F20" s="16"/>
      <x:c r="G20" s="16"/>
      <x:c r="H20" s="16"/>
    </x:row>
    <x:row r="21" ht="30" customHeight="1">
      <x:c r="A21" s="16" t="str">
        <x:v>Risk of no viable business remains even at high traffic. Read the handbook and source/rights register before spending.</x:v>
      </x:c>
      <x:c r="B21" s="16"/>
      <x:c r="C21" s="16"/>
      <x:c r="D21" s="16"/>
      <x:c r="E21" s="16"/>
      <x:c r="F21" s="16"/>
      <x:c r="G21" s="16"/>
      <x:c r="H21" s="16"/>
    </x:row>
    <x:row r="24" ht="40" customHeight="1">
      <x:c r="A24" s="50" t="str">
        <x:v>Case</x:v>
      </x:c>
      <x:c r="B24" s="50" t="str">
        <x:v>12-mo Revenue ($)</x:v>
      </x:c>
      <x:c r="C24" s="50" t="str">
        <x:v>24-mo Revenue ($)</x:v>
      </x:c>
      <x:c r="D24" s="50" t="str">
        <x:v>24-mo Op result ($)</x:v>
      </x:c>
    </x:row>
    <x:row r="25">
      <x:c r="A25" t="str">
        <x:v>Conservative</x:v>
      </x:c>
      <x:c r="B25" s="54" t="n">
        <x:f>C3</x:f>
        <x:v>175.7175</x:v>
      </x:c>
      <x:c r="C25" s="54" t="n">
        <x:f>C4</x:f>
        <x:v>1037.1674999999996</x:v>
      </x:c>
      <x:c r="D25" s="54" t="n">
        <x:f>D4</x:f>
        <x:v>-2733.8324999999995</x:v>
      </x:c>
    </x:row>
    <x:row r="26">
      <x:c r="A26" t="str">
        <x:v>Base</x:v>
      </x:c>
      <x:c r="B26" s="54" t="n">
        <x:f>C6</x:f>
        <x:v>4505.5</x:v>
      </x:c>
      <x:c r="C26" s="54" t="n">
        <x:f>C7</x:f>
        <x:v>29575.5</x:v>
      </x:c>
      <x:c r="D26" s="54" t="n">
        <x:f>D7</x:f>
        <x:v>12726.15</x:v>
      </x:c>
    </x:row>
    <x:row r="27">
      <x:c r="A27" t="str">
        <x:v>Breakout</x:v>
      </x:c>
      <x:c r="B27" s="54" t="n">
        <x:f>C9</x:f>
        <x:v>21267.275</x:v>
      </x:c>
      <x:c r="C27" s="54" t="n">
        <x:f>C10</x:f>
        <x:v>170530.525</x:v>
      </x:c>
      <x:c r="D27" s="54" t="n">
        <x:f>D10</x:f>
        <x:v>102184.29409999998</x:v>
      </x:c>
    </x:row>
  </x:sheetData>
  <x:mergeCells>
    <x:mergeCell ref="A12:H12"/>
    <x:mergeCell ref="A14:H14"/>
    <x:mergeCell ref="A15:H15"/>
    <x:mergeCell ref="A16:H16"/>
    <x:mergeCell ref="A17:H17"/>
    <x:mergeCell ref="A18:H18"/>
    <x:mergeCell ref="A19:H19"/>
    <x:mergeCell ref="A20:H20"/>
    <x:mergeCell ref="A21:H21"/>
  </x:mergeCells>
  <x:pageMargins left="0.7" right="0.7" top="0.75" bottom="0.75" header="0.3" footer="0.3"/>
  <x:drawing xmlns:r="http://schemas.openxmlformats.org/officeDocument/2006/relationships" r:id="R7baf513bb2654a2f"/>
  <x:tableParts count="1">
    <x:tablePart xmlns:r="http://schemas.openxmlformats.org/officeDocument/2006/relationships" r:id="R699f28e14b134f1a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9" hidden="0" customWidth="1"/>
    <x:col min="2" max="2" width="24" hidden="0" customWidth="1"/>
    <x:col min="3" max="3" width="52" hidden="0" customWidth="1"/>
    <x:col min="4" max="4" width="52" hidden="0" customWidth="1"/>
  </x:cols>
  <x:sheetData>
    <x:row r="1" ht="42" customHeight="1">
      <x:c r="A1" s="9" t="str">
        <x:v>Key</x:v>
      </x:c>
      <x:c r="B1" s="9" t="str">
        <x:v>Value</x:v>
      </x:c>
      <x:c r="C1" s="9" t="str">
        <x:v>Units</x:v>
      </x:c>
      <x:c r="D1" s="9" t="str">
        <x:v>Source / assumption</x:v>
      </x:c>
    </x:row>
    <x:row r="2" ht="32" customHeight="1">
      <x:c r="A2" s="4" t="str">
        <x:v>sessions_per_user</x:v>
      </x:c>
      <x:c r="B2" s="20" t="n">
        <x:v>2.5</x:v>
      </x:c>
      <x:c r="C2" s="4" t="str">
        <x:v>sessions / monthly user</x:v>
      </x:c>
      <x:c r="D2" s="4" t="str">
        <x:v>Planning assumption; replace with consent-aware actual analytics</x:v>
      </x:c>
    </x:row>
    <x:row r="3" ht="32" customHeight="1">
      <x:c r="A3" s="4" t="str">
        <x:v>pages_per_session</x:v>
      </x:c>
      <x:c r="B3" s="20" t="n">
        <x:v>2.2</x:v>
      </x:c>
      <x:c r="C3" s="4" t="str">
        <x:v>pages / session</x:v>
      </x:c>
      <x:c r="D3" s="4" t="str">
        <x:v>Planning assumption; external link-out may reduce this materially</x:v>
      </x:c>
    </x:row>
    <x:row r="4" ht="32" customHeight="1">
      <x:c r="A4" s="4" t="str">
        <x:v>requests_per_page</x:v>
      </x:c>
      <x:c r="B4" s="20" t="n">
        <x:v>8</x:v>
      </x:c>
      <x:c r="C4" s="4" t="str">
        <x:v>CDN requests / page</x:v>
      </x:c>
      <x:c r="D4" s="4" t="str">
        <x:v>Planning assumption; static assets and caching must be measured</x:v>
      </x:c>
    </x:row>
    <x:row r="5" ht="32" customHeight="1">
      <x:c r="A5" s="4" t="str">
        <x:v>mb_per_page</x:v>
      </x:c>
      <x:c r="B5" s="20" t="n">
        <x:v>0.35</x:v>
      </x:c>
      <x:c r="C5" s="4" t="str">
        <x:v>MB / page, own-origin only</x:v>
      </x:c>
      <x:c r="D5" s="4" t="str">
        <x:v>Planning assumption; EXCLUDES third-party camera video</x:v>
      </x:c>
    </x:row>
    <x:row r="6" ht="32" customHeight="1">
      <x:c r="A6" s="4" t="str">
        <x:v>pro_base</x:v>
      </x:c>
      <x:c r="B6" s="20" t="n">
        <x:v>20</x:v>
      </x:c>
      <x:c r="C6" s="4" t="str">
        <x:v>USD / month / one seat</x:v>
      </x:c>
      <x:c r="D6" s="4" t="str">
        <x:v>https://vercel.com/pricing</x:v>
      </x:c>
    </x:row>
    <x:row r="7" ht="32" customHeight="1">
      <x:c r="A7" s="4" t="str">
        <x:v>cdn_included_requests</x:v>
      </x:c>
      <x:c r="B7" s="20" t="n">
        <x:v>1000000</x:v>
      </x:c>
      <x:c r="C7" s="4" t="str">
        <x:v>requests / month</x:v>
      </x:c>
      <x:c r="D7" s="4" t="str">
        <x:v>https://vercel.com/changelog/flat-rate-cdn-is-now-ga-for-pro-teams</x:v>
      </x:c>
    </x:row>
    <x:row r="8" ht="32" customHeight="1">
      <x:c r="A8" s="4" t="str">
        <x:v>cdn_tier1_requests</x:v>
      </x:c>
      <x:c r="B8" s="20" t="n">
        <x:v>10000000</x:v>
      </x:c>
      <x:c r="C8" s="4" t="str">
        <x:v>requests / month</x:v>
      </x:c>
      <x:c r="D8" s="4" t="str">
        <x:v>https://vercel.com/changelog/flat-rate-cdn-is-now-ga-for-pro-teams</x:v>
      </x:c>
    </x:row>
    <x:row r="9" ht="32" customHeight="1">
      <x:c r="A9" s="4" t="str">
        <x:v>cdn_tier2_requests</x:v>
      </x:c>
      <x:c r="B9" s="20" t="n">
        <x:v>50000000</x:v>
      </x:c>
      <x:c r="C9" s="4" t="str">
        <x:v>requests / month</x:v>
      </x:c>
      <x:c r="D9" s="4" t="str">
        <x:v>https://vercel.com/changelog/flat-rate-cdn-is-now-ga-for-pro-teams</x:v>
      </x:c>
    </x:row>
    <x:row r="10" ht="32" customHeight="1">
      <x:c r="A10" s="4" t="str">
        <x:v>cdn_tier1_cost</x:v>
      </x:c>
      <x:c r="B10" s="20" t="n">
        <x:v>20</x:v>
      </x:c>
      <x:c r="C10" s="4" t="str">
        <x:v>USD / month ADDITIONAL</x:v>
      </x:c>
      <x:c r="D10" s="4" t="str">
        <x:v>https://vercel.com/changelog/flat-rate-cdn-is-now-ga-for-pro-teams</x:v>
      </x:c>
    </x:row>
    <x:row r="11" ht="32" customHeight="1">
      <x:c r="A11" s="4" t="str">
        <x:v>cdn_tier2_cost</x:v>
      </x:c>
      <x:c r="B11" s="20" t="n">
        <x:v>100</x:v>
      </x:c>
      <x:c r="C11" s="4" t="str">
        <x:v>USD / month ADDITIONAL</x:v>
      </x:c>
      <x:c r="D11" s="4" t="str">
        <x:v>https://vercel.com/changelog/flat-rate-cdn-is-now-ga-for-pro-teams</x:v>
      </x:c>
    </x:row>
    <x:row r="12" ht="32" customHeight="1">
      <x:c r="A12" s="4" t="str">
        <x:v>cdn_tier3_cost</x:v>
      </x:c>
      <x:c r="B12" s="20" t="n">
        <x:v>300</x:v>
      </x:c>
      <x:c r="C12" s="4" t="str">
        <x:v>USD / month ADDITIONAL up to 150m requests</x:v>
      </x:c>
      <x:c r="D12" s="4" t="str">
        <x:v>https://vercel.com/changelog/flat-rate-cdn-is-now-ga-for-pro-teams</x:v>
      </x:c>
    </x:row>
    <x:row r="13" ht="32" customHeight="1">
      <x:c r="A13" s="4" t="str">
        <x:v>usage_reserve_per_user</x:v>
      </x:c>
      <x:c r="B13" s="20" t="n">
        <x:v>0.001</x:v>
      </x:c>
      <x:c r="C13" s="4" t="str">
        <x:v>USD / monthly user</x:v>
      </x:c>
      <x:c r="D13" s="4" t="str">
        <x:v>Unquoted planning allowance for compute, analytics and variable email; NOT vendor rate</x:v>
      </x:c>
    </x:row>
    <x:row r="14" ht="32" customHeight="1">
      <x:c r="A14" s="4" t="str">
        <x:v>ad_eligible_share</x:v>
      </x:c>
      <x:c r="B14" s="20" t="n">
        <x:v>0.6</x:v>
      </x:c>
      <x:c r="C14" s="4" t="str">
        <x:v>share of pageviews</x:v>
      </x:c>
      <x:c r="D14" s="4" t="str">
        <x:v>Planning assumption; excludes unconsented, blocked, ineligible and low-value inventory</x:v>
      </x:c>
    </x:row>
    <x:row r="15" ht="32" customHeight="1">
      <x:c r="A15" s="4" t="str">
        <x:v>ad_net_rpm</x:v>
      </x:c>
      <x:c r="B15" s="20" t="n">
        <x:v>5</x:v>
      </x:c>
      <x:c r="C15" s="4" t="str">
        <x:v>USD / 1,000 eligible pageviews</x:v>
      </x:c>
      <x:c r="D15" s="4" t="str">
        <x:v>SPECULATIVE net publisher RPM; test range $3–8, no network quote</x:v>
      </x:c>
    </x:row>
    <x:row r="16" ht="32" customHeight="1">
      <x:c r="A16" s="4" t="str">
        <x:v>ad_min_users</x:v>
      </x:c>
      <x:c r="B16" s="20" t="n">
        <x:v>10000</x:v>
      </x:c>
      <x:c r="C16" s="4" t="str">
        <x:v>monthly users, internal launch gate</x:v>
      </x:c>
      <x:c r="D16" s="4" t="str">
        <x:v>Internal UX/economics gate, NOT network minimum</x:v>
      </x:c>
    </x:row>
    <x:row r="17" ht="32" customHeight="1">
      <x:c r="A17" s="4" t="str">
        <x:v>payment_rate</x:v>
      </x:c>
      <x:c r="B17" s="20" t="n">
        <x:v>0.029</x:v>
      </x:c>
      <x:c r="C17" s="4" t="str">
        <x:v>share of processed consumer/sponsor revenue</x:v>
      </x:c>
      <x:c r="D17" s="4" t="str">
        <x:v>https://stripe.com/pricing (standard US domestic card assumption)</x:v>
      </x:c>
    </x:row>
    <x:row r="18" ht="32" customHeight="1">
      <x:c r="A18" s="4" t="str">
        <x:v>payment_fixed</x:v>
      </x:c>
      <x:c r="B18" s="20" t="n">
        <x:v>0.3</x:v>
      </x:c>
      <x:c r="C18" s="4" t="str">
        <x:v>USD / processed transaction</x:v>
      </x:c>
      <x:c r="D18" s="4" t="str">
        <x:v>https://stripe.com/pricing (one sponsor invoice/month and one premium charge/user/month)</x:v>
      </x:c>
    </x:row>
    <x:row r="19" ht="32" customHeight="1">
      <x:c r="A19" s="4" t="str">
        <x:v>billing_rate</x:v>
      </x:c>
      <x:c r="B19" s="20" t="n">
        <x:v>0.007</x:v>
      </x:c>
      <x:c r="C19" s="4" t="str">
        <x:v>share of subscription revenue</x:v>
      </x:c>
      <x:c r="D19" s="4" t="str">
        <x:v>https://stripe.com/billing/pricing; additional to card processing</x:v>
      </x:c>
    </x:row>
    <x:row r="20" ht="32" customHeight="1">
      <x:c r="A20" s="4" t="str">
        <x:v>premium_price</x:v>
      </x:c>
      <x:c r="B20" s="20" t="n">
        <x:v>4.99</x:v>
      </x:c>
      <x:c r="C20" s="4" t="str">
        <x:v>USD / active paid user / month</x:v>
      </x:c>
      <x:c r="D20" s="4" t="str">
        <x:v>Price experiment assumption, NOT current product or approved price</x:v>
      </x:c>
    </x:row>
    <x:row r="21" ht="32" customHeight="1">
      <x:c r="A21" s="4" t="str">
        <x:v>admin_monthly</x:v>
      </x:c>
      <x:c r="B21" s="20" t="n">
        <x:v>100</x:v>
      </x:c>
      <x:c r="C21" s="4" t="str">
        <x:v>USD / month</x:v>
      </x:c>
      <x:c r="D21" s="4" t="str">
        <x:v>Planning budget: email/domain/books/tools/insurance accrual; replace with actual invoices</x:v>
      </x:c>
    </x:row>
    <x:row r="22" ht="32" customHeight="1">
      <x:c r="A22" s="4" t="str">
        <x:v>founder_hours_monthly</x:v>
      </x:c>
      <x:c r="B22" s="20" t="n">
        <x:v>80</x:v>
      </x:c>
      <x:c r="C22" s="4" t="str">
        <x:v>hours / month</x:v>
      </x:c>
      <x:c r="D22" s="4" t="str">
        <x:v>Unknown availability; planning limit ~20 hours/week</x:v>
      </x:c>
    </x:row>
    <x:row r="23" ht="32" customHeight="1">
      <x:c r="A23" s="4" t="str">
        <x:v>founder_hour_value</x:v>
      </x:c>
      <x:c r="B23" s="20" t="n">
        <x:v>50</x:v>
      </x:c>
      <x:c r="C23" s="4" t="str">
        <x:v>USD / hour opportunity cost</x:v>
      </x:c>
      <x:c r="D23" s="4" t="str">
        <x:v>Founder-time sensitivity only; NOT salary paid or market quote</x:v>
      </x:c>
    </x:row>
    <x:row r="24" ht="32" customHeight="1">
      <x:c r="A24" s="4" t="str">
        <x:v>affiliate_lag</x:v>
      </x:c>
      <x:c r="B24" s="20" t="n">
        <x:v>2</x:v>
      </x:c>
      <x:c r="C24" s="4" t="str">
        <x:v>months</x:v>
      </x:c>
      <x:c r="D24" s="4" t="str">
        <x:v>Planning cash delay; actual booking completion/network terms differ</x:v>
      </x:c>
    </x:row>
    <x:row r="25" ht="32" customHeight="1">
      <x:c r="A25" s="4" t="str">
        <x:v>ad_lag</x:v>
      </x:c>
      <x:c r="B25" s="20" t="n">
        <x:v>1</x:v>
      </x:c>
      <x:c r="C25" s="4" t="str">
        <x:v>months</x:v>
      </x:c>
      <x:c r="D25" s="4" t="str">
        <x:v>Planning cash delay, not contract-specific</x:v>
      </x:c>
    </x:row>
    <x:row r="26" ht="32" customHeight="1">
      <x:c r="A26" s="4" t="str">
        <x:v>mb_per_gb</x:v>
      </x:c>
      <x:c r="B26" s="20" t="n">
        <x:v>1000</x:v>
      </x:c>
      <x:c r="C26" s="4" t="str">
        <x:v>MB / decimal GB</x:v>
      </x:c>
      <x:c r="D26" s="4" t="str">
        <x:v>Unit conversion</x:v>
      </x:c>
    </x:row>
    <x:row r="27" ht="32" customHeight="1">
      <x:c r="A27" s="4" t="str">
        <x:v>rpm_divisor</x:v>
      </x:c>
      <x:c r="B27" s="20" t="n">
        <x:v>1000</x:v>
      </x:c>
      <x:c r="C27" s="4" t="str">
        <x:v>eligible pageviews / RPM unit</x:v>
      </x:c>
      <x:c r="D27" s="4" t="str">
        <x:v>Unit conversion</x:v>
      </x:c>
    </x:row>
    <x:row r="28" ht="32" customHeight="1">
      <x:c r="A28" s="4" t="str">
        <x:v>sponsor_tx_count</x:v>
      </x:c>
      <x:c r="B28" s="20" t="n">
        <x:v>1</x:v>
      </x:c>
      <x:c r="C28" s="4" t="str">
        <x:v>transactions / active sponsor / month</x:v>
      </x:c>
      <x:c r="D28" s="4" t="str">
        <x:v>Monthly upfront invoice assumption</x:v>
      </x:c>
    </x:row>
    <x:row r="29" ht="32" customHeight="1">
      <x:c r="A29" s="4" t="str">
        <x:v>premium_tx_count</x:v>
      </x:c>
      <x:c r="B29" s="20" t="n">
        <x:v>1</x:v>
      </x:c>
      <x:c r="C29" s="4" t="str">
        <x:v>transactions / active paid user / month</x:v>
      </x:c>
      <x:c r="D29" s="4" t="str">
        <x:v>Monthly recurring plan, no annual prepaid accounting modeled</x:v>
      </x:c>
    </x:row>
    <x:row r="30">
      <x:c r="A30" t="str">
        <x:v>setup_month1_fraction</x:v>
      </x:c>
      <x:c r="B30" s="42" t="n">
        <x:v>0.7</x:v>
      </x:c>
      <x:c r="C30" t="str">
        <x:v>share of setup in first month</x:v>
      </x:c>
      <x:c r="D30" t="str">
        <x:v>Planning allocation, not vendor payment schedule</x:v>
      </x:c>
    </x:row>
    <x:row r="31">
      <x:c r="A31" t="str">
        <x:v>setup_month2_fraction</x:v>
      </x:c>
      <x:c r="B31" s="42" t="n">
        <x:v>0.3</x:v>
      </x:c>
      <x:c r="C31" t="str">
        <x:v>share of setup in second month</x:v>
      </x:c>
      <x:c r="D31" t="str">
        <x:v>Planning allocation</x:v>
      </x:c>
    </x:row>
    <x:row r="32">
      <x:c r="A32" t="str">
        <x:v>operating_services_start</x:v>
      </x:c>
      <x:c r="B32" s="42" t="n">
        <x:v>3</x:v>
      </x:c>
      <x:c r="C32" t="str">
        <x:v>scenario month</x:v>
      </x:c>
      <x:c r="D32" t="str">
        <x:v>Internal gate for rights/contractor budget</x:v>
      </x:c>
    </x:row>
    <x:row r="33">
      <x:c r="A33" t="str">
        <x:v>first_year_months</x:v>
      </x:c>
      <x:c r="B33" s="42" t="n">
        <x:v>12</x:v>
      </x:c>
      <x:c r="C33" t="str">
        <x:v>months</x:v>
      </x:c>
      <x:c r="D33" t="str">
        <x:v>Year boundary</x:v>
      </x:c>
    </x:row>
    <x:row r="34">
      <x:c r="A34" t="str">
        <x:v>tech_low_multiplier</x:v>
      </x:c>
      <x:c r="B34" s="42" t="n">
        <x:v>0.7</x:v>
      </x:c>
      <x:c r="C34" t="str">
        <x:v>multiple</x:v>
      </x:c>
      <x:c r="D34" t="str">
        <x:v>Planning envelope, not vendor pricing</x:v>
      </x:c>
    </x:row>
    <x:row r="35">
      <x:c r="A35" t="str">
        <x:v>tech_high_multiplier</x:v>
      </x:c>
      <x:c r="B35" s="42" t="n">
        <x:v>2</x:v>
      </x:c>
      <x:c r="C35" t="str">
        <x:v>multiple</x:v>
      </x:c>
      <x:c r="D35" t="str">
        <x:v>Planning envelope</x:v>
      </x:c>
    </x:row>
    <x:row r="36">
      <x:c r="A36" t="str">
        <x:v>tech_high_fixed</x:v>
      </x:c>
      <x:c r="B36" s="42" t="n">
        <x:v>100</x:v>
      </x:c>
      <x:c r="C36" t="str">
        <x:v>USD/month reserve</x:v>
      </x:c>
      <x:c r="D36" t="str">
        <x:v>Planning envelope</x:v>
      </x:c>
    </x:row>
    <x:row r="37">
      <x:c r="A37" t="str">
        <x:v>allin_high_fixed</x:v>
      </x:c>
      <x:c r="B37" s="42" t="n">
        <x:v>1500</x:v>
      </x:c>
      <x:c r="C37" t="str">
        <x:v>USD/month reserve</x:v>
      </x:c>
      <x:c r="D37" t="str">
        <x:v>Planning envelope for support/marketing; not a vendor quote</x:v>
      </x:c>
    </x:row>
  </x:sheetData>
  <x:pageMargins left="0.7" right="0.7" top="0.75" bottom="0.75" header="0.3" footer="0.3"/>
  <x:legacyDrawing xmlns:r="http://schemas.openxmlformats.org/officeDocument/2006/relationships" r:id="R821505c5ff214219"/>
  <x:tableParts count="1">
    <x:tablePart xmlns:r="http://schemas.openxmlformats.org/officeDocument/2006/relationships" r:id="Radf471f4f92b411d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</x:cols>
  <x:sheetData>
    <x:row r="1" ht="42" customHeight="1">
      <x:c r="A1" s="9" t="str">
        <x:v>Case</x:v>
      </x:c>
      <x:c r="B1" s="9" t="str">
        <x:v>click</x:v>
      </x:c>
      <x:c r="C1" s="9" t="str">
        <x:v>conversion</x:v>
      </x:c>
      <x:c r="D1" s="9" t="str">
        <x:v>commission</x:v>
      </x:c>
      <x:c r="E1" s="9" t="str">
        <x:v>approval</x:v>
      </x:c>
      <x:c r="F1" s="9" t="str">
        <x:v>ad_start</x:v>
      </x:c>
      <x:c r="G1" s="9" t="str">
        <x:v>affiliate_start</x:v>
      </x:c>
      <x:c r="H1" s="9" t="str">
        <x:v>premium_start</x:v>
      </x:c>
      <x:c r="I1" s="9" t="str">
        <x:v>paid_fraction</x:v>
      </x:c>
      <x:c r="J1" s="9" t="str">
        <x:v>sponsor_price_y1</x:v>
      </x:c>
      <x:c r="K1" s="9" t="str">
        <x:v>sponsor_price_y2</x:v>
      </x:c>
      <x:c r="L1" s="9" t="str">
        <x:v>rights</x:v>
      </x:c>
      <x:c r="M1" s="9" t="str">
        <x:v>setup</x:v>
      </x:c>
      <x:c r="N1" s="9" t="str">
        <x:v>marketing_season</x:v>
      </x:c>
      <x:c r="O1" s="9" t="str">
        <x:v>marketing_off</x:v>
      </x:c>
      <x:c r="P1" s="9" t="str">
        <x:v>contractor</x:v>
      </x:c>
    </x:row>
    <x:row r="2" ht="32" customHeight="1">
      <x:c r="A2" s="4" t="str">
        <x:v>Conservative</x:v>
      </x:c>
      <x:c r="B2" s="20" t="n">
        <x:v>0.01</x:v>
      </x:c>
      <x:c r="C2" s="20" t="n">
        <x:v>0.015</x:v>
      </x:c>
      <x:c r="D2" s="20" t="n">
        <x:v>12</x:v>
      </x:c>
      <x:c r="E2" s="20" t="n">
        <x:v>0.75</x:v>
      </x:c>
      <x:c r="F2" s="20" t="n">
        <x:v>7</x:v>
      </x:c>
      <x:c r="G2" s="20" t="n">
        <x:v>3</x:v>
      </x:c>
      <x:c r="H2" s="20" t="n">
        <x:v>99</x:v>
      </x:c>
      <x:c r="I2" s="20" t="n">
        <x:v>0</x:v>
      </x:c>
      <x:c r="J2" s="20" t="n">
        <x:v>75</x:v>
      </x:c>
      <x:c r="K2" s="20" t="n">
        <x:v>100</x:v>
      </x:c>
      <x:c r="L2" s="20" t="n">
        <x:v>0</x:v>
      </x:c>
      <x:c r="M2" s="20" t="n">
        <x:v>400</x:v>
      </x:c>
      <x:c r="N2" s="20" t="n">
        <x:v>25</x:v>
      </x:c>
      <x:c r="O2" s="20" t="n">
        <x:v>0</x:v>
      </x:c>
      <x:c r="P2" s="20" t="n">
        <x:v>0</x:v>
      </x:c>
    </x:row>
    <x:row r="3" ht="32" customHeight="1">
      <x:c r="A3" s="4" t="str">
        <x:v>Base</x:v>
      </x:c>
      <x:c r="B3" s="20" t="n">
        <x:v>0.025</x:v>
      </x:c>
      <x:c r="C3" s="20" t="n">
        <x:v>0.025</x:v>
      </x:c>
      <x:c r="D3" s="20" t="n">
        <x:v>20</x:v>
      </x:c>
      <x:c r="E3" s="20" t="n">
        <x:v>0.8</x:v>
      </x:c>
      <x:c r="F3" s="20" t="n">
        <x:v>5</x:v>
      </x:c>
      <x:c r="G3" s="20" t="n">
        <x:v>3</x:v>
      </x:c>
      <x:c r="H3" s="20" t="n">
        <x:v>99</x:v>
      </x:c>
      <x:c r="I3" s="20" t="n">
        <x:v>0</x:v>
      </x:c>
      <x:c r="J3" s="20" t="n">
        <x:v>150</x:v>
      </x:c>
      <x:c r="K3" s="20" t="n">
        <x:v>250</x:v>
      </x:c>
      <x:c r="L3" s="20" t="n">
        <x:v>50</x:v>
      </x:c>
      <x:c r="M3" s="20" t="n">
        <x:v>2000</x:v>
      </x:c>
      <x:c r="N3" s="20" t="n">
        <x:v>300</x:v>
      </x:c>
      <x:c r="O3" s="20" t="n">
        <x:v>50</x:v>
      </x:c>
      <x:c r="P3" s="20" t="n">
        <x:v>200</x:v>
      </x:c>
    </x:row>
    <x:row r="4" ht="32" customHeight="1">
      <x:c r="A4" s="4" t="str">
        <x:v>Breakout</x:v>
      </x:c>
      <x:c r="B4" s="20" t="n">
        <x:v>0.04</x:v>
      </x:c>
      <x:c r="C4" s="20" t="n">
        <x:v>0.03</x:v>
      </x:c>
      <x:c r="D4" s="20" t="n">
        <x:v>25</x:v>
      </x:c>
      <x:c r="E4" s="20" t="n">
        <x:v>0.85</x:v>
      </x:c>
      <x:c r="F4" s="20" t="n">
        <x:v>5</x:v>
      </x:c>
      <x:c r="G4" s="20" t="n">
        <x:v>3</x:v>
      </x:c>
      <x:c r="H4" s="20" t="n">
        <x:v>6</x:v>
      </x:c>
      <x:c r="I4" s="20" t="n">
        <x:v>0.0025</x:v>
      </x:c>
      <x:c r="J4" s="20" t="n">
        <x:v>250</x:v>
      </x:c>
      <x:c r="K4" s="20" t="n">
        <x:v>500</x:v>
      </x:c>
      <x:c r="L4" s="20" t="n">
        <x:v>250</x:v>
      </x:c>
      <x:c r="M4" s="20" t="n">
        <x:v>4500</x:v>
      </x:c>
      <x:c r="N4" s="20" t="n">
        <x:v>1500</x:v>
      </x:c>
      <x:c r="O4" s="20" t="n">
        <x:v>300</x:v>
      </x:c>
      <x:c r="P4" s="20" t="n">
        <x:v>1000</x:v>
      </x:c>
    </x:row>
  </x:sheetData>
  <x:pageMargins left="0.7" right="0.7" top="0.75" bottom="0.75" header="0.3" footer="0.3"/>
  <x:legacyDrawing xmlns:r="http://schemas.openxmlformats.org/officeDocument/2006/relationships" r:id="Rb4ef7bf78bcb47e3"/>
  <x:tableParts count="1">
    <x:tablePart xmlns:r="http://schemas.openxmlformats.org/officeDocument/2006/relationships" r:id="R3f2c4efcbd4346ab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  <x:col min="23" max="23" width="17" hidden="0" customWidth="1"/>
    <x:col min="24" max="24" width="17" hidden="0" customWidth="1"/>
    <x:col min="25" max="25" width="17" hidden="0" customWidth="1"/>
    <x:col min="26" max="26" width="17" hidden="0" customWidth="1"/>
    <x:col min="27" max="27" width="17" hidden="0" customWidth="1"/>
    <x:col min="28" max="28" width="17" hidden="0" customWidth="1"/>
    <x:col min="29" max="29" width="17" hidden="0" customWidth="1"/>
    <x:col min="30" max="30" width="17" hidden="0" customWidth="1"/>
    <x:col min="31" max="31" width="17" hidden="0" customWidth="1"/>
    <x:col min="32" max="32" width="17" hidden="0" customWidth="1"/>
    <x:col min="33" max="33" width="17" hidden="0" customWidth="1"/>
    <x:col min="34" max="34" width="17" hidden="0" customWidth="1"/>
  </x:cols>
  <x:sheetData>
    <x:row r="1" ht="42" customHeight="1">
      <x:c r="A1" s="9" t="str">
        <x:v>Case</x:v>
      </x:c>
      <x:c r="B1" s="9" t="str">
        <x:v>Month</x:v>
      </x:c>
      <x:c r="C1" s="9" t="str">
        <x:v>Index</x:v>
      </x:c>
      <x:c r="D1" s="9" t="str">
        <x:v>MAU</x:v>
      </x:c>
      <x:c r="E1" s="9" t="str">
        <x:v>Pageviews</x:v>
      </x:c>
      <x:c r="F1" s="9" t="str">
        <x:v>CDN requests</x:v>
      </x:c>
      <x:c r="G1" s="9" t="str">
        <x:v>Own-origin GB</x:v>
      </x:c>
      <x:c r="H1" s="9" t="str">
        <x:v>Affiliate clicks</x:v>
      </x:c>
      <x:c r="I1" s="9" t="str">
        <x:v>Affiliate revenue</x:v>
      </x:c>
      <x:c r="J1" s="9" t="str">
        <x:v>Ad revenue</x:v>
      </x:c>
      <x:c r="K1" s="9" t="str">
        <x:v>Sponsor count</x:v>
      </x:c>
      <x:c r="L1" s="9" t="str">
        <x:v>Sponsor unit price</x:v>
      </x:c>
      <x:c r="M1" s="9" t="str">
        <x:v>Sponsor revenue</x:v>
      </x:c>
      <x:c r="N1" s="9" t="str">
        <x:v>Active paid target</x:v>
      </x:c>
      <x:c r="O1" s="9" t="str">
        <x:v>Premium revenue</x:v>
      </x:c>
      <x:c r="P1" s="9" t="str">
        <x:v>Revenue</x:v>
      </x:c>
      <x:c r="Q1" s="9" t="str">
        <x:v>CDN upgrade</x:v>
      </x:c>
      <x:c r="R1" s="9" t="str">
        <x:v>Tech cost</x:v>
      </x:c>
      <x:c r="S1" s="9" t="str">
        <x:v>Rights budget</x:v>
      </x:c>
      <x:c r="T1" s="9" t="str">
        <x:v>Payment fees</x:v>
      </x:c>
      <x:c r="U1" s="9" t="str">
        <x:v>Direct cost</x:v>
      </x:c>
      <x:c r="V1" s="9" t="str">
        <x:v>Gross profit</x:v>
      </x:c>
      <x:c r="W1" s="9" t="str">
        <x:v>Gross margin</x:v>
      </x:c>
      <x:c r="X1" s="9" t="str">
        <x:v>Admin</x:v>
      </x:c>
      <x:c r="Y1" s="9" t="str">
        <x:v>Marketing</x:v>
      </x:c>
      <x:c r="Z1" s="9" t="str">
        <x:v>Contractors</x:v>
      </x:c>
      <x:c r="AA1" s="9" t="str">
        <x:v>Setup</x:v>
      </x:c>
      <x:c r="AB1" s="9" t="str">
        <x:v>Operating result</x:v>
      </x:c>
      <x:c r="AC1" s="9" t="str">
        <x:v>Cash receipts</x:v>
      </x:c>
      <x:c r="AD1" s="9" t="str">
        <x:v>Cash outflow</x:v>
      </x:c>
      <x:c r="AE1" s="9" t="str">
        <x:v>Net cash</x:v>
      </x:c>
      <x:c r="AF1" s="9" t="str">
        <x:v>Cumulative cash</x:v>
      </x:c>
      <x:c r="AG1" s="9" t="str">
        <x:v>Founder opportunity cost</x:v>
      </x:c>
      <x:c r="AH1" s="9" t="str">
        <x:v>After founder time</x:v>
      </x:c>
    </x:row>
    <x:row r="2" ht="32" customHeight="1">
      <x:c r="A2" s="4" t="str">
        <x:v>Conservative</x:v>
      </x:c>
      <x:c r="B2" s="22" t="n">
        <x:v>46266</x:v>
      </x:c>
      <x:c r="C2" s="4" t="n">
        <x:v>1</x:v>
      </x:c>
      <x:c r="D2" s="24" t="n">
        <x:v>300</x:v>
      </x:c>
      <x:c r="E2" s="30" t="n">
        <x:f>D2*'Inputs'!$B$2*'Inputs'!$B$3</x:f>
        <x:v>1650.0000000000002</x:v>
      </x:c>
      <x:c r="F2" s="30" t="n">
        <x:f>E2*'Inputs'!$B$4</x:f>
        <x:v>13200.000000000002</x:v>
      </x:c>
      <x:c r="G2" s="30" t="n">
        <x:f>E2*'Inputs'!$B$5/'Inputs'!$B$26</x:f>
        <x:v>0.5775</x:v>
      </x:c>
      <x:c r="H2" s="30" t="n">
        <x:f>IF(C2&gt;='Case Inputs'!$G$2,D2*'Case Inputs'!$B$2,0)</x:f>
        <x:v>0</x:v>
      </x:c>
      <x:c r="I2" s="32" t="n">
        <x:f>H2*'Case Inputs'!$C$2*'Case Inputs'!$D$2*'Case Inputs'!$E$2</x:f>
        <x:v>0</x:v>
      </x:c>
      <x:c r="J2" s="32" t="n">
        <x:f>IF(AND(C2&gt;='Case Inputs'!$F$2,D2&gt;='Inputs'!$B$16),E2*'Inputs'!$B$14*'Inputs'!$B$15/'Inputs'!$B$27,0)</x:f>
        <x:v>0</x:v>
      </x:c>
      <x:c r="K2" s="24" t="n">
        <x:v>0</x:v>
      </x:c>
      <x:c r="L2" s="32" t="n">
        <x:f>IF(C2&lt;='Inputs'!$B$33,'Case Inputs'!$J$2,'Case Inputs'!$K$2)</x:f>
        <x:v>75</x:v>
      </x:c>
      <x:c r="M2" s="34" t="n">
        <x:f>K2*L2</x:f>
        <x:v>0</x:v>
      </x:c>
      <x:c r="N2" s="25" t="n">
        <x:f>IF(C2&gt;='Case Inputs'!$H$2,D2*'Case Inputs'!$I$2,0)</x:f>
        <x:v>0</x:v>
      </x:c>
      <x:c r="O2" s="32" t="n">
        <x:f>N2*'Inputs'!$B$20</x:f>
        <x:v>0</x:v>
      </x:c>
      <x:c r="P2" s="34" t="n">
        <x:f>SUM(I2:J2)+M2+O2</x:f>
        <x:v>0</x:v>
      </x:c>
      <x:c r="Q2" s="32" t="n">
        <x:f>IF(F2&lt;='Inputs'!$B$7,0,IF(F2&lt;='Inputs'!$B$8,'Inputs'!$B$10,IF(F2&lt;='Inputs'!$B$9,'Inputs'!$B$11,'Inputs'!$B$12)))</x:f>
        <x:v>0</x:v>
      </x:c>
      <x:c r="R2" s="32" t="n">
        <x:f>'Inputs'!$B$6+Q2+D2*'Inputs'!$B$13</x:f>
        <x:v>20.3</x:v>
      </x:c>
      <x:c r="S2" s="32" t="n">
        <x:f>IF(C2&gt;='Inputs'!$B$32,'Case Inputs'!$L$2,0)</x:f>
        <x:v>0</x:v>
      </x:c>
      <x:c r="T2" s="32" t="n">
        <x:f>(M2+O2)*'Inputs'!$B$17+(K2*'Inputs'!$B$28+N2*'Inputs'!$B$29)*'Inputs'!$B$18+O2*'Inputs'!$B$19</x:f>
        <x:v>0</x:v>
      </x:c>
      <x:c r="U2" s="34" t="n">
        <x:f>SUM(R2:T2)</x:f>
        <x:v>20.3</x:v>
      </x:c>
      <x:c r="V2" s="34" t="n">
        <x:f>P2-U2</x:f>
        <x:v>-20.3</x:v>
      </x:c>
      <x:c r="W2" s="28" t="str">
        <x:f>IF(P2=0,"",V2/P2)</x:f>
      </x:c>
      <x:c r="X2" s="32" t="n">
        <x:f>'Inputs'!$B$21</x:f>
        <x:v>100</x:v>
      </x:c>
      <x:c r="Y2" s="32" t="n">
        <x:f>IF(OR(MONTH(B2)&gt;=9,MONTH(B2)&lt;=4),'Case Inputs'!$N$2,'Case Inputs'!$O$2)</x:f>
        <x:v>25</x:v>
      </x:c>
      <x:c r="Z2" s="32" t="n">
        <x:f>IF(C2&gt;='Inputs'!$B$32,'Case Inputs'!$P$2,0)</x:f>
        <x:v>0</x:v>
      </x:c>
      <x:c r="AA2" s="32" t="n">
        <x:f>IF(C2=1,'Case Inputs'!$M$2*'Inputs'!$B$30,IF(C2=2,'Case Inputs'!$M$2*'Inputs'!$B$31,0))</x:f>
        <x:v>280</x:v>
      </x:c>
      <x:c r="AB2" s="34" t="n">
        <x:f>V2-SUM(X2:AA2)</x:f>
        <x:v>-425.3</x:v>
      </x:c>
      <x:c r="AC2" s="32" t="n">
        <x:f>IF(C2&gt;'Inputs'!$B$24,INDEX($I$2:$I$25,MAX(1,C2-'Inputs'!$B$24)),0)+IF(C2&gt;'Inputs'!$B$25,INDEX($J$2:$J$25,MAX(1,C2-'Inputs'!$B$25)),0)+M2+O2</x:f>
        <x:v>0</x:v>
      </x:c>
      <x:c r="AD2" s="34" t="n">
        <x:f>U2+SUM(X2:AA2)</x:f>
        <x:v>425.3</x:v>
      </x:c>
      <x:c r="AE2" s="34" t="n">
        <x:f>AC2-AD2</x:f>
        <x:v>-425.3</x:v>
      </x:c>
      <x:c r="AF2" s="34" t="n">
        <x:f>SUM($AE$2:AE2)</x:f>
        <x:v>-425.3</x:v>
      </x:c>
      <x:c r="AG2" s="32" t="n">
        <x:f>'Inputs'!$B$22*'Inputs'!$B$23</x:f>
        <x:v>4000</x:v>
      </x:c>
      <x:c r="AH2" s="34" t="n">
        <x:f>AB2-AG2</x:f>
        <x:v>-4425.3</x:v>
      </x:c>
    </x:row>
    <x:row r="3" ht="32" customHeight="1">
      <x:c r="A3" s="4" t="str">
        <x:v>Conservative</x:v>
      </x:c>
      <x:c r="B3" s="22" t="n">
        <x:v>46296</x:v>
      </x:c>
      <x:c r="C3" s="4" t="n">
        <x:v>2</x:v>
      </x:c>
      <x:c r="D3" s="24" t="n">
        <x:v>500</x:v>
      </x:c>
      <x:c r="E3" s="30" t="n">
        <x:f>D3*'Inputs'!$B$2*'Inputs'!$B$3</x:f>
        <x:v>2750</x:v>
      </x:c>
      <x:c r="F3" s="30" t="n">
        <x:f>E3*'Inputs'!$B$4</x:f>
        <x:v>22000</x:v>
      </x:c>
      <x:c r="G3" s="30" t="n">
        <x:f>E3*'Inputs'!$B$5/'Inputs'!$B$26</x:f>
        <x:v>0.9624999999999999</x:v>
      </x:c>
      <x:c r="H3" s="30" t="n">
        <x:f>IF(C3&gt;='Case Inputs'!$G$2,D3*'Case Inputs'!$B$2,0)</x:f>
        <x:v>0</x:v>
      </x:c>
      <x:c r="I3" s="32" t="n">
        <x:f>H3*'Case Inputs'!$C$2*'Case Inputs'!$D$2*'Case Inputs'!$E$2</x:f>
        <x:v>0</x:v>
      </x:c>
      <x:c r="J3" s="32" t="n">
        <x:f>IF(AND(C3&gt;='Case Inputs'!$F$2,D3&gt;='Inputs'!$B$16),E3*'Inputs'!$B$14*'Inputs'!$B$15/'Inputs'!$B$27,0)</x:f>
        <x:v>0</x:v>
      </x:c>
      <x:c r="K3" s="24" t="n">
        <x:v>0</x:v>
      </x:c>
      <x:c r="L3" s="32" t="n">
        <x:f>IF(C3&lt;='Inputs'!$B$33,'Case Inputs'!$J$2,'Case Inputs'!$K$2)</x:f>
        <x:v>75</x:v>
      </x:c>
      <x:c r="M3" s="34" t="n">
        <x:f>K3*L3</x:f>
        <x:v>0</x:v>
      </x:c>
      <x:c r="N3" s="25" t="n">
        <x:f>IF(C3&gt;='Case Inputs'!$H$2,D3*'Case Inputs'!$I$2,0)</x:f>
        <x:v>0</x:v>
      </x:c>
      <x:c r="O3" s="32" t="n">
        <x:f>N3*'Inputs'!$B$20</x:f>
        <x:v>0</x:v>
      </x:c>
      <x:c r="P3" s="34" t="n">
        <x:f>SUM(I3:J3)+M3+O3</x:f>
        <x:v>0</x:v>
      </x:c>
      <x:c r="Q3" s="32" t="n">
        <x:f>IF(F3&lt;='Inputs'!$B$7,0,IF(F3&lt;='Inputs'!$B$8,'Inputs'!$B$10,IF(F3&lt;='Inputs'!$B$9,'Inputs'!$B$11,'Inputs'!$B$12)))</x:f>
        <x:v>0</x:v>
      </x:c>
      <x:c r="R3" s="32" t="n">
        <x:f>'Inputs'!$B$6+Q3+D3*'Inputs'!$B$13</x:f>
        <x:v>20.5</x:v>
      </x:c>
      <x:c r="S3" s="32" t="n">
        <x:f>IF(C3&gt;='Inputs'!$B$32,'Case Inputs'!$L$2,0)</x:f>
        <x:v>0</x:v>
      </x:c>
      <x:c r="T3" s="32" t="n">
        <x:f>(M3+O3)*'Inputs'!$B$17+(K3*'Inputs'!$B$28+N3*'Inputs'!$B$29)*'Inputs'!$B$18+O3*'Inputs'!$B$19</x:f>
        <x:v>0</x:v>
      </x:c>
      <x:c r="U3" s="34" t="n">
        <x:f>SUM(R3:T3)</x:f>
        <x:v>20.5</x:v>
      </x:c>
      <x:c r="V3" s="34" t="n">
        <x:f>P3-U3</x:f>
        <x:v>-20.5</x:v>
      </x:c>
      <x:c r="W3" s="28" t="str">
        <x:f>IF(P3=0,"",V3/P3)</x:f>
      </x:c>
      <x:c r="X3" s="32" t="n">
        <x:f>'Inputs'!$B$21</x:f>
        <x:v>100</x:v>
      </x:c>
      <x:c r="Y3" s="32" t="n">
        <x:f>IF(OR(MONTH(B3)&gt;=9,MONTH(B3)&lt;=4),'Case Inputs'!$N$2,'Case Inputs'!$O$2)</x:f>
        <x:v>25</x:v>
      </x:c>
      <x:c r="Z3" s="32" t="n">
        <x:f>IF(C3&gt;='Inputs'!$B$32,'Case Inputs'!$P$2,0)</x:f>
        <x:v>0</x:v>
      </x:c>
      <x:c r="AA3" s="32" t="n">
        <x:f>IF(C3=1,'Case Inputs'!$M$2*'Inputs'!$B$30,IF(C3=2,'Case Inputs'!$M$2*'Inputs'!$B$31,0))</x:f>
        <x:v>120</x:v>
      </x:c>
      <x:c r="AB3" s="34" t="n">
        <x:f>V3-SUM(X3:AA3)</x:f>
        <x:v>-265.5</x:v>
      </x:c>
      <x:c r="AC3" s="32" t="n">
        <x:f>IF(C3&gt;'Inputs'!$B$24,INDEX($I$2:$I$25,MAX(1,C3-'Inputs'!$B$24)),0)+IF(C3&gt;'Inputs'!$B$25,INDEX($J$2:$J$25,MAX(1,C3-'Inputs'!$B$25)),0)+M3+O3</x:f>
        <x:v>0</x:v>
      </x:c>
      <x:c r="AD3" s="34" t="n">
        <x:f>U3+SUM(X3:AA3)</x:f>
        <x:v>265.5</x:v>
      </x:c>
      <x:c r="AE3" s="34" t="n">
        <x:f>AC3-AD3</x:f>
        <x:v>-265.5</x:v>
      </x:c>
      <x:c r="AF3" s="34" t="n">
        <x:f>SUM($AE$2:AE3)</x:f>
        <x:v>-690.8</x:v>
      </x:c>
      <x:c r="AG3" s="32" t="n">
        <x:f>'Inputs'!$B$22*'Inputs'!$B$23</x:f>
        <x:v>4000</x:v>
      </x:c>
      <x:c r="AH3" s="34" t="n">
        <x:f>AB3-AG3</x:f>
        <x:v>-4265.5</x:v>
      </x:c>
    </x:row>
    <x:row r="4" ht="32" customHeight="1">
      <x:c r="A4" s="4" t="str">
        <x:v>Conservative</x:v>
      </x:c>
      <x:c r="B4" s="22" t="n">
        <x:v>46327</x:v>
      </x:c>
      <x:c r="C4" s="4" t="n">
        <x:v>3</x:v>
      </x:c>
      <x:c r="D4" s="24" t="n">
        <x:v>1000</x:v>
      </x:c>
      <x:c r="E4" s="30" t="n">
        <x:f>D4*'Inputs'!$B$2*'Inputs'!$B$3</x:f>
        <x:v>5500</x:v>
      </x:c>
      <x:c r="F4" s="30" t="n">
        <x:f>E4*'Inputs'!$B$4</x:f>
        <x:v>44000</x:v>
      </x:c>
      <x:c r="G4" s="30" t="n">
        <x:f>E4*'Inputs'!$B$5/'Inputs'!$B$26</x:f>
        <x:v>1.9249999999999998</x:v>
      </x:c>
      <x:c r="H4" s="30" t="n">
        <x:f>IF(C4&gt;='Case Inputs'!$G$2,D4*'Case Inputs'!$B$2,0)</x:f>
        <x:v>10</x:v>
      </x:c>
      <x:c r="I4" s="32" t="n">
        <x:f>H4*'Case Inputs'!$C$2*'Case Inputs'!$D$2*'Case Inputs'!$E$2</x:f>
        <x:v>1.3499999999999999</x:v>
      </x:c>
      <x:c r="J4" s="32" t="n">
        <x:f>IF(AND(C4&gt;='Case Inputs'!$F$2,D4&gt;='Inputs'!$B$16),E4*'Inputs'!$B$14*'Inputs'!$B$15/'Inputs'!$B$27,0)</x:f>
        <x:v>0</x:v>
      </x:c>
      <x:c r="K4" s="24" t="n">
        <x:v>0</x:v>
      </x:c>
      <x:c r="L4" s="32" t="n">
        <x:f>IF(C4&lt;='Inputs'!$B$33,'Case Inputs'!$J$2,'Case Inputs'!$K$2)</x:f>
        <x:v>75</x:v>
      </x:c>
      <x:c r="M4" s="34" t="n">
        <x:f>K4*L4</x:f>
        <x:v>0</x:v>
      </x:c>
      <x:c r="N4" s="25" t="n">
        <x:f>IF(C4&gt;='Case Inputs'!$H$2,D4*'Case Inputs'!$I$2,0)</x:f>
        <x:v>0</x:v>
      </x:c>
      <x:c r="O4" s="32" t="n">
        <x:f>N4*'Inputs'!$B$20</x:f>
        <x:v>0</x:v>
      </x:c>
      <x:c r="P4" s="34" t="n">
        <x:f>SUM(I4:J4)+M4+O4</x:f>
        <x:v>1.3499999999999999</x:v>
      </x:c>
      <x:c r="Q4" s="32" t="n">
        <x:f>IF(F4&lt;='Inputs'!$B$7,0,IF(F4&lt;='Inputs'!$B$8,'Inputs'!$B$10,IF(F4&lt;='Inputs'!$B$9,'Inputs'!$B$11,'Inputs'!$B$12)))</x:f>
        <x:v>0</x:v>
      </x:c>
      <x:c r="R4" s="32" t="n">
        <x:f>'Inputs'!$B$6+Q4+D4*'Inputs'!$B$13</x:f>
        <x:v>21</x:v>
      </x:c>
      <x:c r="S4" s="32" t="n">
        <x:f>IF(C4&gt;='Inputs'!$B$32,'Case Inputs'!$L$2,0)</x:f>
        <x:v>0</x:v>
      </x:c>
      <x:c r="T4" s="32" t="n">
        <x:f>(M4+O4)*'Inputs'!$B$17+(K4*'Inputs'!$B$28+N4*'Inputs'!$B$29)*'Inputs'!$B$18+O4*'Inputs'!$B$19</x:f>
        <x:v>0</x:v>
      </x:c>
      <x:c r="U4" s="34" t="n">
        <x:f>SUM(R4:T4)</x:f>
        <x:v>21</x:v>
      </x:c>
      <x:c r="V4" s="34" t="n">
        <x:f>P4-U4</x:f>
        <x:v>-19.65</x:v>
      </x:c>
      <x:c r="W4" s="28" t="n">
        <x:f>IF(P4=0,"",V4/P4)</x:f>
        <x:v>-14.555555555555555</x:v>
      </x:c>
      <x:c r="X4" s="32" t="n">
        <x:f>'Inputs'!$B$21</x:f>
        <x:v>100</x:v>
      </x:c>
      <x:c r="Y4" s="32" t="n">
        <x:f>IF(OR(MONTH(B4)&gt;=9,MONTH(B4)&lt;=4),'Case Inputs'!$N$2,'Case Inputs'!$O$2)</x:f>
        <x:v>25</x:v>
      </x:c>
      <x:c r="Z4" s="32" t="n">
        <x:f>IF(C4&gt;='Inputs'!$B$32,'Case Inputs'!$P$2,0)</x:f>
        <x:v>0</x:v>
      </x:c>
      <x:c r="AA4" s="32" t="n">
        <x:f>IF(C4=1,'Case Inputs'!$M$2*'Inputs'!$B$30,IF(C4=2,'Case Inputs'!$M$2*'Inputs'!$B$31,0))</x:f>
        <x:v>0</x:v>
      </x:c>
      <x:c r="AB4" s="34" t="n">
        <x:f>V4-SUM(X4:AA4)</x:f>
        <x:v>-144.65</x:v>
      </x:c>
      <x:c r="AC4" s="32" t="n">
        <x:f>IF(C4&gt;'Inputs'!$B$24,INDEX($I$2:$I$25,MAX(1,C4-'Inputs'!$B$24)),0)+IF(C4&gt;'Inputs'!$B$25,INDEX($J$2:$J$25,MAX(1,C4-'Inputs'!$B$25)),0)+M4+O4</x:f>
        <x:v>0</x:v>
      </x:c>
      <x:c r="AD4" s="34" t="n">
        <x:f>U4+SUM(X4:AA4)</x:f>
        <x:v>146</x:v>
      </x:c>
      <x:c r="AE4" s="34" t="n">
        <x:f>AC4-AD4</x:f>
        <x:v>-146</x:v>
      </x:c>
      <x:c r="AF4" s="34" t="n">
        <x:f>SUM($AE$2:AE4)</x:f>
        <x:v>-836.8</x:v>
      </x:c>
      <x:c r="AG4" s="32" t="n">
        <x:f>'Inputs'!$B$22*'Inputs'!$B$23</x:f>
        <x:v>4000</x:v>
      </x:c>
      <x:c r="AH4" s="34" t="n">
        <x:f>AB4-AG4</x:f>
        <x:v>-4144.65</x:v>
      </x:c>
    </x:row>
    <x:row r="5" ht="32" customHeight="1">
      <x:c r="A5" s="4" t="str">
        <x:v>Conservative</x:v>
      </x:c>
      <x:c r="B5" s="22" t="n">
        <x:v>46357</x:v>
      </x:c>
      <x:c r="C5" s="4" t="n">
        <x:v>4</x:v>
      </x:c>
      <x:c r="D5" s="24" t="n">
        <x:v>2500</x:v>
      </x:c>
      <x:c r="E5" s="30" t="n">
        <x:f>D5*'Inputs'!$B$2*'Inputs'!$B$3</x:f>
        <x:v>13750.000000000002</x:v>
      </x:c>
      <x:c r="F5" s="30" t="n">
        <x:f>E5*'Inputs'!$B$4</x:f>
        <x:v>110000.00000000001</x:v>
      </x:c>
      <x:c r="G5" s="30" t="n">
        <x:f>E5*'Inputs'!$B$5/'Inputs'!$B$26</x:f>
        <x:v>4.8125</x:v>
      </x:c>
      <x:c r="H5" s="30" t="n">
        <x:f>IF(C5&gt;='Case Inputs'!$G$2,D5*'Case Inputs'!$B$2,0)</x:f>
        <x:v>25</x:v>
      </x:c>
      <x:c r="I5" s="32" t="n">
        <x:f>H5*'Case Inputs'!$C$2*'Case Inputs'!$D$2*'Case Inputs'!$E$2</x:f>
        <x:v>3.375</x:v>
      </x:c>
      <x:c r="J5" s="32" t="n">
        <x:f>IF(AND(C5&gt;='Case Inputs'!$F$2,D5&gt;='Inputs'!$B$16),E5*'Inputs'!$B$14*'Inputs'!$B$15/'Inputs'!$B$27,0)</x:f>
        <x:v>0</x:v>
      </x:c>
      <x:c r="K5" s="24" t="n">
        <x:v>0</x:v>
      </x:c>
      <x:c r="L5" s="32" t="n">
        <x:f>IF(C5&lt;='Inputs'!$B$33,'Case Inputs'!$J$2,'Case Inputs'!$K$2)</x:f>
        <x:v>75</x:v>
      </x:c>
      <x:c r="M5" s="34" t="n">
        <x:f>K5*L5</x:f>
        <x:v>0</x:v>
      </x:c>
      <x:c r="N5" s="25" t="n">
        <x:f>IF(C5&gt;='Case Inputs'!$H$2,D5*'Case Inputs'!$I$2,0)</x:f>
        <x:v>0</x:v>
      </x:c>
      <x:c r="O5" s="32" t="n">
        <x:f>N5*'Inputs'!$B$20</x:f>
        <x:v>0</x:v>
      </x:c>
      <x:c r="P5" s="34" t="n">
        <x:f>SUM(I5:J5)+M5+O5</x:f>
        <x:v>3.375</x:v>
      </x:c>
      <x:c r="Q5" s="32" t="n">
        <x:f>IF(F5&lt;='Inputs'!$B$7,0,IF(F5&lt;='Inputs'!$B$8,'Inputs'!$B$10,IF(F5&lt;='Inputs'!$B$9,'Inputs'!$B$11,'Inputs'!$B$12)))</x:f>
        <x:v>0</x:v>
      </x:c>
      <x:c r="R5" s="32" t="n">
        <x:f>'Inputs'!$B$6+Q5+D5*'Inputs'!$B$13</x:f>
        <x:v>22.5</x:v>
      </x:c>
      <x:c r="S5" s="32" t="n">
        <x:f>IF(C5&gt;='Inputs'!$B$32,'Case Inputs'!$L$2,0)</x:f>
        <x:v>0</x:v>
      </x:c>
      <x:c r="T5" s="32" t="n">
        <x:f>(M5+O5)*'Inputs'!$B$17+(K5*'Inputs'!$B$28+N5*'Inputs'!$B$29)*'Inputs'!$B$18+O5*'Inputs'!$B$19</x:f>
        <x:v>0</x:v>
      </x:c>
      <x:c r="U5" s="34" t="n">
        <x:f>SUM(R5:T5)</x:f>
        <x:v>22.5</x:v>
      </x:c>
      <x:c r="V5" s="34" t="n">
        <x:f>P5-U5</x:f>
        <x:v>-19.125</x:v>
      </x:c>
      <x:c r="W5" s="28" t="n">
        <x:f>IF(P5=0,"",V5/P5)</x:f>
        <x:v>-5.666666666666667</x:v>
      </x:c>
      <x:c r="X5" s="32" t="n">
        <x:f>'Inputs'!$B$21</x:f>
        <x:v>100</x:v>
      </x:c>
      <x:c r="Y5" s="32" t="n">
        <x:f>IF(OR(MONTH(B5)&gt;=9,MONTH(B5)&lt;=4),'Case Inputs'!$N$2,'Case Inputs'!$O$2)</x:f>
        <x:v>25</x:v>
      </x:c>
      <x:c r="Z5" s="32" t="n">
        <x:f>IF(C5&gt;='Inputs'!$B$32,'Case Inputs'!$P$2,0)</x:f>
        <x:v>0</x:v>
      </x:c>
      <x:c r="AA5" s="32" t="n">
        <x:f>IF(C5=1,'Case Inputs'!$M$2*'Inputs'!$B$30,IF(C5=2,'Case Inputs'!$M$2*'Inputs'!$B$31,0))</x:f>
        <x:v>0</x:v>
      </x:c>
      <x:c r="AB5" s="34" t="n">
        <x:f>V5-SUM(X5:AA5)</x:f>
        <x:v>-144.125</x:v>
      </x:c>
      <x:c r="AC5" s="32" t="n">
        <x:f>IF(C5&gt;'Inputs'!$B$24,INDEX($I$2:$I$25,MAX(1,C5-'Inputs'!$B$24)),0)+IF(C5&gt;'Inputs'!$B$25,INDEX($J$2:$J$25,MAX(1,C5-'Inputs'!$B$25)),0)+M5+O5</x:f>
        <x:v>0</x:v>
      </x:c>
      <x:c r="AD5" s="34" t="n">
        <x:f>U5+SUM(X5:AA5)</x:f>
        <x:v>147.5</x:v>
      </x:c>
      <x:c r="AE5" s="34" t="n">
        <x:f>AC5-AD5</x:f>
        <x:v>-147.5</x:v>
      </x:c>
      <x:c r="AF5" s="34" t="n">
        <x:f>SUM($AE$2:AE5)</x:f>
        <x:v>-984.3</x:v>
      </x:c>
      <x:c r="AG5" s="32" t="n">
        <x:f>'Inputs'!$B$22*'Inputs'!$B$23</x:f>
        <x:v>4000</x:v>
      </x:c>
      <x:c r="AH5" s="34" t="n">
        <x:f>AB5-AG5</x:f>
        <x:v>-4144.125</x:v>
      </x:c>
    </x:row>
    <x:row r="6" ht="32" customHeight="1">
      <x:c r="A6" s="4" t="str">
        <x:v>Conservative</x:v>
      </x:c>
      <x:c r="B6" s="22" t="n">
        <x:v>46388</x:v>
      </x:c>
      <x:c r="C6" s="4" t="n">
        <x:v>5</x:v>
      </x:c>
      <x:c r="D6" s="24" t="n">
        <x:v>4000</x:v>
      </x:c>
      <x:c r="E6" s="30" t="n">
        <x:f>D6*'Inputs'!$B$2*'Inputs'!$B$3</x:f>
        <x:v>22000</x:v>
      </x:c>
      <x:c r="F6" s="30" t="n">
        <x:f>E6*'Inputs'!$B$4</x:f>
        <x:v>176000</x:v>
      </x:c>
      <x:c r="G6" s="30" t="n">
        <x:f>E6*'Inputs'!$B$5/'Inputs'!$B$26</x:f>
        <x:v>7.699999999999999</x:v>
      </x:c>
      <x:c r="H6" s="30" t="n">
        <x:f>IF(C6&gt;='Case Inputs'!$G$2,D6*'Case Inputs'!$B$2,0)</x:f>
        <x:v>40</x:v>
      </x:c>
      <x:c r="I6" s="32" t="n">
        <x:f>H6*'Case Inputs'!$C$2*'Case Inputs'!$D$2*'Case Inputs'!$E$2</x:f>
        <x:v>5.3999999999999995</x:v>
      </x:c>
      <x:c r="J6" s="32" t="n">
        <x:f>IF(AND(C6&gt;='Case Inputs'!$F$2,D6&gt;='Inputs'!$B$16),E6*'Inputs'!$B$14*'Inputs'!$B$15/'Inputs'!$B$27,0)</x:f>
        <x:v>0</x:v>
      </x:c>
      <x:c r="K6" s="24" t="n">
        <x:v>0</x:v>
      </x:c>
      <x:c r="L6" s="32" t="n">
        <x:f>IF(C6&lt;='Inputs'!$B$33,'Case Inputs'!$J$2,'Case Inputs'!$K$2)</x:f>
        <x:v>75</x:v>
      </x:c>
      <x:c r="M6" s="34" t="n">
        <x:f>K6*L6</x:f>
        <x:v>0</x:v>
      </x:c>
      <x:c r="N6" s="25" t="n">
        <x:f>IF(C6&gt;='Case Inputs'!$H$2,D6*'Case Inputs'!$I$2,0)</x:f>
        <x:v>0</x:v>
      </x:c>
      <x:c r="O6" s="32" t="n">
        <x:f>N6*'Inputs'!$B$20</x:f>
        <x:v>0</x:v>
      </x:c>
      <x:c r="P6" s="34" t="n">
        <x:f>SUM(I6:J6)+M6+O6</x:f>
        <x:v>5.3999999999999995</x:v>
      </x:c>
      <x:c r="Q6" s="32" t="n">
        <x:f>IF(F6&lt;='Inputs'!$B$7,0,IF(F6&lt;='Inputs'!$B$8,'Inputs'!$B$10,IF(F6&lt;='Inputs'!$B$9,'Inputs'!$B$11,'Inputs'!$B$12)))</x:f>
        <x:v>0</x:v>
      </x:c>
      <x:c r="R6" s="32" t="n">
        <x:f>'Inputs'!$B$6+Q6+D6*'Inputs'!$B$13</x:f>
        <x:v>24</x:v>
      </x:c>
      <x:c r="S6" s="32" t="n">
        <x:f>IF(C6&gt;='Inputs'!$B$32,'Case Inputs'!$L$2,0)</x:f>
        <x:v>0</x:v>
      </x:c>
      <x:c r="T6" s="32" t="n">
        <x:f>(M6+O6)*'Inputs'!$B$17+(K6*'Inputs'!$B$28+N6*'Inputs'!$B$29)*'Inputs'!$B$18+O6*'Inputs'!$B$19</x:f>
        <x:v>0</x:v>
      </x:c>
      <x:c r="U6" s="34" t="n">
        <x:f>SUM(R6:T6)</x:f>
        <x:v>24</x:v>
      </x:c>
      <x:c r="V6" s="34" t="n">
        <x:f>P6-U6</x:f>
        <x:v>-18.6</x:v>
      </x:c>
      <x:c r="W6" s="28" t="n">
        <x:f>IF(P6=0,"",V6/P6)</x:f>
        <x:v>-3.444444444444445</x:v>
      </x:c>
      <x:c r="X6" s="32" t="n">
        <x:f>'Inputs'!$B$21</x:f>
        <x:v>100</x:v>
      </x:c>
      <x:c r="Y6" s="32" t="n">
        <x:f>IF(OR(MONTH(B6)&gt;=9,MONTH(B6)&lt;=4),'Case Inputs'!$N$2,'Case Inputs'!$O$2)</x:f>
        <x:v>25</x:v>
      </x:c>
      <x:c r="Z6" s="32" t="n">
        <x:f>IF(C6&gt;='Inputs'!$B$32,'Case Inputs'!$P$2,0)</x:f>
        <x:v>0</x:v>
      </x:c>
      <x:c r="AA6" s="32" t="n">
        <x:f>IF(C6=1,'Case Inputs'!$M$2*'Inputs'!$B$30,IF(C6=2,'Case Inputs'!$M$2*'Inputs'!$B$31,0))</x:f>
        <x:v>0</x:v>
      </x:c>
      <x:c r="AB6" s="34" t="n">
        <x:f>V6-SUM(X6:AA6)</x:f>
        <x:v>-143.6</x:v>
      </x:c>
      <x:c r="AC6" s="32" t="n">
        <x:f>IF(C6&gt;'Inputs'!$B$24,INDEX($I$2:$I$25,MAX(1,C6-'Inputs'!$B$24)),0)+IF(C6&gt;'Inputs'!$B$25,INDEX($J$2:$J$25,MAX(1,C6-'Inputs'!$B$25)),0)+M6+O6</x:f>
        <x:v>1.3499999999999999</x:v>
      </x:c>
      <x:c r="AD6" s="34" t="n">
        <x:f>U6+SUM(X6:AA6)</x:f>
        <x:v>149</x:v>
      </x:c>
      <x:c r="AE6" s="34" t="n">
        <x:f>AC6-AD6</x:f>
        <x:v>-147.65</x:v>
      </x:c>
      <x:c r="AF6" s="34" t="n">
        <x:f>SUM($AE$2:AE6)</x:f>
        <x:v>-1131.95</x:v>
      </x:c>
      <x:c r="AG6" s="32" t="n">
        <x:f>'Inputs'!$B$22*'Inputs'!$B$23</x:f>
        <x:v>4000</x:v>
      </x:c>
      <x:c r="AH6" s="34" t="n">
        <x:f>AB6-AG6</x:f>
        <x:v>-4143.6</x:v>
      </x:c>
    </x:row>
    <x:row r="7" ht="32" customHeight="1">
      <x:c r="A7" s="4" t="str">
        <x:v>Conservative</x:v>
      </x:c>
      <x:c r="B7" s="22" t="n">
        <x:v>46419</x:v>
      </x:c>
      <x:c r="C7" s="4" t="n">
        <x:v>6</x:v>
      </x:c>
      <x:c r="D7" s="24" t="n">
        <x:v>5000</x:v>
      </x:c>
      <x:c r="E7" s="30" t="n">
        <x:f>D7*'Inputs'!$B$2*'Inputs'!$B$3</x:f>
        <x:v>27500.000000000004</x:v>
      </x:c>
      <x:c r="F7" s="30" t="n">
        <x:f>E7*'Inputs'!$B$4</x:f>
        <x:v>220000.00000000003</x:v>
      </x:c>
      <x:c r="G7" s="30" t="n">
        <x:f>E7*'Inputs'!$B$5/'Inputs'!$B$26</x:f>
        <x:v>9.625</x:v>
      </x:c>
      <x:c r="H7" s="30" t="n">
        <x:f>IF(C7&gt;='Case Inputs'!$G$2,D7*'Case Inputs'!$B$2,0)</x:f>
        <x:v>50</x:v>
      </x:c>
      <x:c r="I7" s="32" t="n">
        <x:f>H7*'Case Inputs'!$C$2*'Case Inputs'!$D$2*'Case Inputs'!$E$2</x:f>
        <x:v>6.75</x:v>
      </x:c>
      <x:c r="J7" s="32" t="n">
        <x:f>IF(AND(C7&gt;='Case Inputs'!$F$2,D7&gt;='Inputs'!$B$16),E7*'Inputs'!$B$14*'Inputs'!$B$15/'Inputs'!$B$27,0)</x:f>
        <x:v>0</x:v>
      </x:c>
      <x:c r="K7" s="24" t="n">
        <x:v>1</x:v>
      </x:c>
      <x:c r="L7" s="32" t="n">
        <x:f>IF(C7&lt;='Inputs'!$B$33,'Case Inputs'!$J$2,'Case Inputs'!$K$2)</x:f>
        <x:v>75</x:v>
      </x:c>
      <x:c r="M7" s="34" t="n">
        <x:f>K7*L7</x:f>
        <x:v>75</x:v>
      </x:c>
      <x:c r="N7" s="25" t="n">
        <x:f>IF(C7&gt;='Case Inputs'!$H$2,D7*'Case Inputs'!$I$2,0)</x:f>
        <x:v>0</x:v>
      </x:c>
      <x:c r="O7" s="32" t="n">
        <x:f>N7*'Inputs'!$B$20</x:f>
        <x:v>0</x:v>
      </x:c>
      <x:c r="P7" s="34" t="n">
        <x:f>SUM(I7:J7)+M7+O7</x:f>
        <x:v>81.75</x:v>
      </x:c>
      <x:c r="Q7" s="32" t="n">
        <x:f>IF(F7&lt;='Inputs'!$B$7,0,IF(F7&lt;='Inputs'!$B$8,'Inputs'!$B$10,IF(F7&lt;='Inputs'!$B$9,'Inputs'!$B$11,'Inputs'!$B$12)))</x:f>
        <x:v>0</x:v>
      </x:c>
      <x:c r="R7" s="32" t="n">
        <x:f>'Inputs'!$B$6+Q7+D7*'Inputs'!$B$13</x:f>
        <x:v>25</x:v>
      </x:c>
      <x:c r="S7" s="32" t="n">
        <x:f>IF(C7&gt;='Inputs'!$B$32,'Case Inputs'!$L$2,0)</x:f>
        <x:v>0</x:v>
      </x:c>
      <x:c r="T7" s="32" t="n">
        <x:f>(M7+O7)*'Inputs'!$B$17+(K7*'Inputs'!$B$28+N7*'Inputs'!$B$29)*'Inputs'!$B$18+O7*'Inputs'!$B$19</x:f>
        <x:v>2.475</x:v>
      </x:c>
      <x:c r="U7" s="34" t="n">
        <x:f>SUM(R7:T7)</x:f>
        <x:v>27.475</x:v>
      </x:c>
      <x:c r="V7" s="34" t="n">
        <x:f>P7-U7</x:f>
        <x:v>54.275</x:v>
      </x:c>
      <x:c r="W7" s="28" t="n">
        <x:f>IF(P7=0,"",V7/P7)</x:f>
        <x:v>0.663914373088685</x:v>
      </x:c>
      <x:c r="X7" s="32" t="n">
        <x:f>'Inputs'!$B$21</x:f>
        <x:v>100</x:v>
      </x:c>
      <x:c r="Y7" s="32" t="n">
        <x:f>IF(OR(MONTH(B7)&gt;=9,MONTH(B7)&lt;=4),'Case Inputs'!$N$2,'Case Inputs'!$O$2)</x:f>
        <x:v>25</x:v>
      </x:c>
      <x:c r="Z7" s="32" t="n">
        <x:f>IF(C7&gt;='Inputs'!$B$32,'Case Inputs'!$P$2,0)</x:f>
        <x:v>0</x:v>
      </x:c>
      <x:c r="AA7" s="32" t="n">
        <x:f>IF(C7=1,'Case Inputs'!$M$2*'Inputs'!$B$30,IF(C7=2,'Case Inputs'!$M$2*'Inputs'!$B$31,0))</x:f>
        <x:v>0</x:v>
      </x:c>
      <x:c r="AB7" s="34" t="n">
        <x:f>V7-SUM(X7:AA7)</x:f>
        <x:v>-70.725</x:v>
      </x:c>
      <x:c r="AC7" s="32" t="n">
        <x:f>IF(C7&gt;'Inputs'!$B$24,INDEX($I$2:$I$25,MAX(1,C7-'Inputs'!$B$24)),0)+IF(C7&gt;'Inputs'!$B$25,INDEX($J$2:$J$25,MAX(1,C7-'Inputs'!$B$25)),0)+M7+O7</x:f>
        <x:v>78.375</x:v>
      </x:c>
      <x:c r="AD7" s="34" t="n">
        <x:f>U7+SUM(X7:AA7)</x:f>
        <x:v>152.475</x:v>
      </x:c>
      <x:c r="AE7" s="34" t="n">
        <x:f>AC7-AD7</x:f>
        <x:v>-74.1</x:v>
      </x:c>
      <x:c r="AF7" s="34" t="n">
        <x:f>SUM($AE$2:AE7)</x:f>
        <x:v>-1206.05</x:v>
      </x:c>
      <x:c r="AG7" s="32" t="n">
        <x:f>'Inputs'!$B$22*'Inputs'!$B$23</x:f>
        <x:v>4000</x:v>
      </x:c>
      <x:c r="AH7" s="34" t="n">
        <x:f>AB7-AG7</x:f>
        <x:v>-4070.725</x:v>
      </x:c>
    </x:row>
    <x:row r="8" ht="32" customHeight="1">
      <x:c r="A8" s="4" t="str">
        <x:v>Conservative</x:v>
      </x:c>
      <x:c r="B8" s="22" t="n">
        <x:v>46447</x:v>
      </x:c>
      <x:c r="C8" s="4" t="n">
        <x:v>7</x:v>
      </x:c>
      <x:c r="D8" s="24" t="n">
        <x:v>3500</x:v>
      </x:c>
      <x:c r="E8" s="30" t="n">
        <x:f>D8*'Inputs'!$B$2*'Inputs'!$B$3</x:f>
        <x:v>19250</x:v>
      </x:c>
      <x:c r="F8" s="30" t="n">
        <x:f>E8*'Inputs'!$B$4</x:f>
        <x:v>154000</x:v>
      </x:c>
      <x:c r="G8" s="30" t="n">
        <x:f>E8*'Inputs'!$B$5/'Inputs'!$B$26</x:f>
        <x:v>6.7375</x:v>
      </x:c>
      <x:c r="H8" s="30" t="n">
        <x:f>IF(C8&gt;='Case Inputs'!$G$2,D8*'Case Inputs'!$B$2,0)</x:f>
        <x:v>35</x:v>
      </x:c>
      <x:c r="I8" s="32" t="n">
        <x:f>H8*'Case Inputs'!$C$2*'Case Inputs'!$D$2*'Case Inputs'!$E$2</x:f>
        <x:v>4.7250000000000005</x:v>
      </x:c>
      <x:c r="J8" s="32" t="n">
        <x:f>IF(AND(C8&gt;='Case Inputs'!$F$2,D8&gt;='Inputs'!$B$16),E8*'Inputs'!$B$14*'Inputs'!$B$15/'Inputs'!$B$27,0)</x:f>
        <x:v>0</x:v>
      </x:c>
      <x:c r="K8" s="24" t="n">
        <x:v>1</x:v>
      </x:c>
      <x:c r="L8" s="32" t="n">
        <x:f>IF(C8&lt;='Inputs'!$B$33,'Case Inputs'!$J$2,'Case Inputs'!$K$2)</x:f>
        <x:v>75</x:v>
      </x:c>
      <x:c r="M8" s="34" t="n">
        <x:f>K8*L8</x:f>
        <x:v>75</x:v>
      </x:c>
      <x:c r="N8" s="25" t="n">
        <x:f>IF(C8&gt;='Case Inputs'!$H$2,D8*'Case Inputs'!$I$2,0)</x:f>
        <x:v>0</x:v>
      </x:c>
      <x:c r="O8" s="32" t="n">
        <x:f>N8*'Inputs'!$B$20</x:f>
        <x:v>0</x:v>
      </x:c>
      <x:c r="P8" s="34" t="n">
        <x:f>SUM(I8:J8)+M8+O8</x:f>
        <x:v>79.725</x:v>
      </x:c>
      <x:c r="Q8" s="32" t="n">
        <x:f>IF(F8&lt;='Inputs'!$B$7,0,IF(F8&lt;='Inputs'!$B$8,'Inputs'!$B$10,IF(F8&lt;='Inputs'!$B$9,'Inputs'!$B$11,'Inputs'!$B$12)))</x:f>
        <x:v>0</x:v>
      </x:c>
      <x:c r="R8" s="32" t="n">
        <x:f>'Inputs'!$B$6+Q8+D8*'Inputs'!$B$13</x:f>
        <x:v>23.5</x:v>
      </x:c>
      <x:c r="S8" s="32" t="n">
        <x:f>IF(C8&gt;='Inputs'!$B$32,'Case Inputs'!$L$2,0)</x:f>
        <x:v>0</x:v>
      </x:c>
      <x:c r="T8" s="32" t="n">
        <x:f>(M8+O8)*'Inputs'!$B$17+(K8*'Inputs'!$B$28+N8*'Inputs'!$B$29)*'Inputs'!$B$18+O8*'Inputs'!$B$19</x:f>
        <x:v>2.475</x:v>
      </x:c>
      <x:c r="U8" s="34" t="n">
        <x:f>SUM(R8:T8)</x:f>
        <x:v>25.975</x:v>
      </x:c>
      <x:c r="V8" s="34" t="n">
        <x:f>P8-U8</x:f>
        <x:v>53.74999999999999</x:v>
      </x:c>
      <x:c r="W8" s="28" t="n">
        <x:f>IF(P8=0,"",V8/P8)</x:f>
        <x:v>0.674192536845406</x:v>
      </x:c>
      <x:c r="X8" s="32" t="n">
        <x:f>'Inputs'!$B$21</x:f>
        <x:v>100</x:v>
      </x:c>
      <x:c r="Y8" s="32" t="n">
        <x:f>IF(OR(MONTH(B8)&gt;=9,MONTH(B8)&lt;=4),'Case Inputs'!$N$2,'Case Inputs'!$O$2)</x:f>
        <x:v>25</x:v>
      </x:c>
      <x:c r="Z8" s="32" t="n">
        <x:f>IF(C8&gt;='Inputs'!$B$32,'Case Inputs'!$P$2,0)</x:f>
        <x:v>0</x:v>
      </x:c>
      <x:c r="AA8" s="32" t="n">
        <x:f>IF(C8=1,'Case Inputs'!$M$2*'Inputs'!$B$30,IF(C8=2,'Case Inputs'!$M$2*'Inputs'!$B$31,0))</x:f>
        <x:v>0</x:v>
      </x:c>
      <x:c r="AB8" s="34" t="n">
        <x:f>V8-SUM(X8:AA8)</x:f>
        <x:v>-71.25</x:v>
      </x:c>
      <x:c r="AC8" s="32" t="n">
        <x:f>IF(C8&gt;'Inputs'!$B$24,INDEX($I$2:$I$25,MAX(1,C8-'Inputs'!$B$24)),0)+IF(C8&gt;'Inputs'!$B$25,INDEX($J$2:$J$25,MAX(1,C8-'Inputs'!$B$25)),0)+M8+O8</x:f>
        <x:v>80.4</x:v>
      </x:c>
      <x:c r="AD8" s="34" t="n">
        <x:f>U8+SUM(X8:AA8)</x:f>
        <x:v>150.975</x:v>
      </x:c>
      <x:c r="AE8" s="34" t="n">
        <x:f>AC8-AD8</x:f>
        <x:v>-70.57499999999999</x:v>
      </x:c>
      <x:c r="AF8" s="34" t="n">
        <x:f>SUM($AE$2:AE8)</x:f>
        <x:v>-1276.625</x:v>
      </x:c>
      <x:c r="AG8" s="32" t="n">
        <x:f>'Inputs'!$B$22*'Inputs'!$B$23</x:f>
        <x:v>4000</x:v>
      </x:c>
      <x:c r="AH8" s="34" t="n">
        <x:f>AB8-AG8</x:f>
        <x:v>-4071.25</x:v>
      </x:c>
    </x:row>
    <x:row r="9" ht="32" customHeight="1">
      <x:c r="A9" s="4" t="str">
        <x:v>Conservative</x:v>
      </x:c>
      <x:c r="B9" s="22" t="n">
        <x:v>46478</x:v>
      </x:c>
      <x:c r="C9" s="4" t="n">
        <x:v>8</x:v>
      </x:c>
      <x:c r="D9" s="24" t="n">
        <x:v>1500</x:v>
      </x:c>
      <x:c r="E9" s="30" t="n">
        <x:f>D9*'Inputs'!$B$2*'Inputs'!$B$3</x:f>
        <x:v>8250</x:v>
      </x:c>
      <x:c r="F9" s="30" t="n">
        <x:f>E9*'Inputs'!$B$4</x:f>
        <x:v>66000</x:v>
      </x:c>
      <x:c r="G9" s="30" t="n">
        <x:f>E9*'Inputs'!$B$5/'Inputs'!$B$26</x:f>
        <x:v>2.8875</x:v>
      </x:c>
      <x:c r="H9" s="30" t="n">
        <x:f>IF(C9&gt;='Case Inputs'!$G$2,D9*'Case Inputs'!$B$2,0)</x:f>
        <x:v>15</x:v>
      </x:c>
      <x:c r="I9" s="32" t="n">
        <x:f>H9*'Case Inputs'!$C$2*'Case Inputs'!$D$2*'Case Inputs'!$E$2</x:f>
        <x:v>2.025</x:v>
      </x:c>
      <x:c r="J9" s="32" t="n">
        <x:f>IF(AND(C9&gt;='Case Inputs'!$F$2,D9&gt;='Inputs'!$B$16),E9*'Inputs'!$B$14*'Inputs'!$B$15/'Inputs'!$B$27,0)</x:f>
        <x:v>0</x:v>
      </x:c>
      <x:c r="K9" s="24" t="n">
        <x:v>0</x:v>
      </x:c>
      <x:c r="L9" s="32" t="n">
        <x:f>IF(C9&lt;='Inputs'!$B$33,'Case Inputs'!$J$2,'Case Inputs'!$K$2)</x:f>
        <x:v>75</x:v>
      </x:c>
      <x:c r="M9" s="34" t="n">
        <x:f>K9*L9</x:f>
        <x:v>0</x:v>
      </x:c>
      <x:c r="N9" s="25" t="n">
        <x:f>IF(C9&gt;='Case Inputs'!$H$2,D9*'Case Inputs'!$I$2,0)</x:f>
        <x:v>0</x:v>
      </x:c>
      <x:c r="O9" s="32" t="n">
        <x:f>N9*'Inputs'!$B$20</x:f>
        <x:v>0</x:v>
      </x:c>
      <x:c r="P9" s="34" t="n">
        <x:f>SUM(I9:J9)+M9+O9</x:f>
        <x:v>2.025</x:v>
      </x:c>
      <x:c r="Q9" s="32" t="n">
        <x:f>IF(F9&lt;='Inputs'!$B$7,0,IF(F9&lt;='Inputs'!$B$8,'Inputs'!$B$10,IF(F9&lt;='Inputs'!$B$9,'Inputs'!$B$11,'Inputs'!$B$12)))</x:f>
        <x:v>0</x:v>
      </x:c>
      <x:c r="R9" s="32" t="n">
        <x:f>'Inputs'!$B$6+Q9+D9*'Inputs'!$B$13</x:f>
        <x:v>21.5</x:v>
      </x:c>
      <x:c r="S9" s="32" t="n">
        <x:f>IF(C9&gt;='Inputs'!$B$32,'Case Inputs'!$L$2,0)</x:f>
        <x:v>0</x:v>
      </x:c>
      <x:c r="T9" s="32" t="n">
        <x:f>(M9+O9)*'Inputs'!$B$17+(K9*'Inputs'!$B$28+N9*'Inputs'!$B$29)*'Inputs'!$B$18+O9*'Inputs'!$B$19</x:f>
        <x:v>0</x:v>
      </x:c>
      <x:c r="U9" s="34" t="n">
        <x:f>SUM(R9:T9)</x:f>
        <x:v>21.5</x:v>
      </x:c>
      <x:c r="V9" s="34" t="n">
        <x:f>P9-U9</x:f>
        <x:v>-19.475</x:v>
      </x:c>
      <x:c r="W9" s="28" t="n">
        <x:f>IF(P9=0,"",V9/P9)</x:f>
        <x:v>-9.617283950617285</x:v>
      </x:c>
      <x:c r="X9" s="32" t="n">
        <x:f>'Inputs'!$B$21</x:f>
        <x:v>100</x:v>
      </x:c>
      <x:c r="Y9" s="32" t="n">
        <x:f>IF(OR(MONTH(B9)&gt;=9,MONTH(B9)&lt;=4),'Case Inputs'!$N$2,'Case Inputs'!$O$2)</x:f>
        <x:v>25</x:v>
      </x:c>
      <x:c r="Z9" s="32" t="n">
        <x:f>IF(C9&gt;='Inputs'!$B$32,'Case Inputs'!$P$2,0)</x:f>
        <x:v>0</x:v>
      </x:c>
      <x:c r="AA9" s="32" t="n">
        <x:f>IF(C9=1,'Case Inputs'!$M$2*'Inputs'!$B$30,IF(C9=2,'Case Inputs'!$M$2*'Inputs'!$B$31,0))</x:f>
        <x:v>0</x:v>
      </x:c>
      <x:c r="AB9" s="34" t="n">
        <x:f>V9-SUM(X9:AA9)</x:f>
        <x:v>-144.475</x:v>
      </x:c>
      <x:c r="AC9" s="32" t="n">
        <x:f>IF(C9&gt;'Inputs'!$B$24,INDEX($I$2:$I$25,MAX(1,C9-'Inputs'!$B$24)),0)+IF(C9&gt;'Inputs'!$B$25,INDEX($J$2:$J$25,MAX(1,C9-'Inputs'!$B$25)),0)+M9+O9</x:f>
        <x:v>6.75</x:v>
      </x:c>
      <x:c r="AD9" s="34" t="n">
        <x:f>U9+SUM(X9:AA9)</x:f>
        <x:v>146.5</x:v>
      </x:c>
      <x:c r="AE9" s="34" t="n">
        <x:f>AC9-AD9</x:f>
        <x:v>-139.75</x:v>
      </x:c>
      <x:c r="AF9" s="34" t="n">
        <x:f>SUM($AE$2:AE9)</x:f>
        <x:v>-1416.375</x:v>
      </x:c>
      <x:c r="AG9" s="32" t="n">
        <x:f>'Inputs'!$B$22*'Inputs'!$B$23</x:f>
        <x:v>4000</x:v>
      </x:c>
      <x:c r="AH9" s="34" t="n">
        <x:f>AB9-AG9</x:f>
        <x:v>-4144.475</x:v>
      </x:c>
    </x:row>
    <x:row r="10" ht="32" customHeight="1">
      <x:c r="A10" s="4" t="str">
        <x:v>Conservative</x:v>
      </x:c>
      <x:c r="B10" s="22" t="n">
        <x:v>46508</x:v>
      </x:c>
      <x:c r="C10" s="4" t="n">
        <x:v>9</x:v>
      </x:c>
      <x:c r="D10" s="24" t="n">
        <x:v>500</x:v>
      </x:c>
      <x:c r="E10" s="30" t="n">
        <x:f>D10*'Inputs'!$B$2*'Inputs'!$B$3</x:f>
        <x:v>2750</x:v>
      </x:c>
      <x:c r="F10" s="30" t="n">
        <x:f>E10*'Inputs'!$B$4</x:f>
        <x:v>22000</x:v>
      </x:c>
      <x:c r="G10" s="30" t="n">
        <x:f>E10*'Inputs'!$B$5/'Inputs'!$B$26</x:f>
        <x:v>0.9624999999999999</x:v>
      </x:c>
      <x:c r="H10" s="30" t="n">
        <x:f>IF(C10&gt;='Case Inputs'!$G$2,D10*'Case Inputs'!$B$2,0)</x:f>
        <x:v>5</x:v>
      </x:c>
      <x:c r="I10" s="32" t="n">
        <x:f>H10*'Case Inputs'!$C$2*'Case Inputs'!$D$2*'Case Inputs'!$E$2</x:f>
        <x:v>0.6749999999999999</x:v>
      </x:c>
      <x:c r="J10" s="32" t="n">
        <x:f>IF(AND(C10&gt;='Case Inputs'!$F$2,D10&gt;='Inputs'!$B$16),E10*'Inputs'!$B$14*'Inputs'!$B$15/'Inputs'!$B$27,0)</x:f>
        <x:v>0</x:v>
      </x:c>
      <x:c r="K10" s="24" t="n">
        <x:v>0</x:v>
      </x:c>
      <x:c r="L10" s="32" t="n">
        <x:f>IF(C10&lt;='Inputs'!$B$33,'Case Inputs'!$J$2,'Case Inputs'!$K$2)</x:f>
        <x:v>75</x:v>
      </x:c>
      <x:c r="M10" s="34" t="n">
        <x:f>K10*L10</x:f>
        <x:v>0</x:v>
      </x:c>
      <x:c r="N10" s="25" t="n">
        <x:f>IF(C10&gt;='Case Inputs'!$H$2,D10*'Case Inputs'!$I$2,0)</x:f>
        <x:v>0</x:v>
      </x:c>
      <x:c r="O10" s="32" t="n">
        <x:f>N10*'Inputs'!$B$20</x:f>
        <x:v>0</x:v>
      </x:c>
      <x:c r="P10" s="34" t="n">
        <x:f>SUM(I10:J10)+M10+O10</x:f>
        <x:v>0.6749999999999999</x:v>
      </x:c>
      <x:c r="Q10" s="32" t="n">
        <x:f>IF(F10&lt;='Inputs'!$B$7,0,IF(F10&lt;='Inputs'!$B$8,'Inputs'!$B$10,IF(F10&lt;='Inputs'!$B$9,'Inputs'!$B$11,'Inputs'!$B$12)))</x:f>
        <x:v>0</x:v>
      </x:c>
      <x:c r="R10" s="32" t="n">
        <x:f>'Inputs'!$B$6+Q10+D10*'Inputs'!$B$13</x:f>
        <x:v>20.5</x:v>
      </x:c>
      <x:c r="S10" s="32" t="n">
        <x:f>IF(C10&gt;='Inputs'!$B$32,'Case Inputs'!$L$2,0)</x:f>
        <x:v>0</x:v>
      </x:c>
      <x:c r="T10" s="32" t="n">
        <x:f>(M10+O10)*'Inputs'!$B$17+(K10*'Inputs'!$B$28+N10*'Inputs'!$B$29)*'Inputs'!$B$18+O10*'Inputs'!$B$19</x:f>
        <x:v>0</x:v>
      </x:c>
      <x:c r="U10" s="34" t="n">
        <x:f>SUM(R10:T10)</x:f>
        <x:v>20.5</x:v>
      </x:c>
      <x:c r="V10" s="34" t="n">
        <x:f>P10-U10</x:f>
        <x:v>-19.825</x:v>
      </x:c>
      <x:c r="W10" s="28" t="n">
        <x:f>IF(P10=0,"",V10/P10)</x:f>
        <x:v>-29.370370370370374</x:v>
      </x:c>
      <x:c r="X10" s="32" t="n">
        <x:f>'Inputs'!$B$21</x:f>
        <x:v>100</x:v>
      </x:c>
      <x:c r="Y10" s="32" t="n">
        <x:f>IF(OR(MONTH(B10)&gt;=9,MONTH(B10)&lt;=4),'Case Inputs'!$N$2,'Case Inputs'!$O$2)</x:f>
        <x:v>0</x:v>
      </x:c>
      <x:c r="Z10" s="32" t="n">
        <x:f>IF(C10&gt;='Inputs'!$B$32,'Case Inputs'!$P$2,0)</x:f>
        <x:v>0</x:v>
      </x:c>
      <x:c r="AA10" s="32" t="n">
        <x:f>IF(C10=1,'Case Inputs'!$M$2*'Inputs'!$B$30,IF(C10=2,'Case Inputs'!$M$2*'Inputs'!$B$31,0))</x:f>
        <x:v>0</x:v>
      </x:c>
      <x:c r="AB10" s="34" t="n">
        <x:f>V10-SUM(X10:AA10)</x:f>
        <x:v>-119.825</x:v>
      </x:c>
      <x:c r="AC10" s="32" t="n">
        <x:f>IF(C10&gt;'Inputs'!$B$24,INDEX($I$2:$I$25,MAX(1,C10-'Inputs'!$B$24)),0)+IF(C10&gt;'Inputs'!$B$25,INDEX($J$2:$J$25,MAX(1,C10-'Inputs'!$B$25)),0)+M10+O10</x:f>
        <x:v>4.7250000000000005</x:v>
      </x:c>
      <x:c r="AD10" s="34" t="n">
        <x:f>U10+SUM(X10:AA10)</x:f>
        <x:v>120.5</x:v>
      </x:c>
      <x:c r="AE10" s="34" t="n">
        <x:f>AC10-AD10</x:f>
        <x:v>-115.775</x:v>
      </x:c>
      <x:c r="AF10" s="34" t="n">
        <x:f>SUM($AE$2:AE10)</x:f>
        <x:v>-1532.15</x:v>
      </x:c>
      <x:c r="AG10" s="32" t="n">
        <x:f>'Inputs'!$B$22*'Inputs'!$B$23</x:f>
        <x:v>4000</x:v>
      </x:c>
      <x:c r="AH10" s="34" t="n">
        <x:f>AB10-AG10</x:f>
        <x:v>-4119.825</x:v>
      </x:c>
    </x:row>
    <x:row r="11" ht="32" customHeight="1">
      <x:c r="A11" s="4" t="str">
        <x:v>Conservative</x:v>
      </x:c>
      <x:c r="B11" s="22" t="n">
        <x:v>46539</x:v>
      </x:c>
      <x:c r="C11" s="4" t="n">
        <x:v>10</x:v>
      </x:c>
      <x:c r="D11" s="24" t="n">
        <x:v>350</x:v>
      </x:c>
      <x:c r="E11" s="30" t="n">
        <x:f>D11*'Inputs'!$B$2*'Inputs'!$B$3</x:f>
        <x:v>1925.0000000000002</x:v>
      </x:c>
      <x:c r="F11" s="30" t="n">
        <x:f>E11*'Inputs'!$B$4</x:f>
        <x:v>15400.000000000002</x:v>
      </x:c>
      <x:c r="G11" s="30" t="n">
        <x:f>E11*'Inputs'!$B$5/'Inputs'!$B$26</x:f>
        <x:v>0.67375</x:v>
      </x:c>
      <x:c r="H11" s="30" t="n">
        <x:f>IF(C11&gt;='Case Inputs'!$G$2,D11*'Case Inputs'!$B$2,0)</x:f>
        <x:v>3.5</x:v>
      </x:c>
      <x:c r="I11" s="32" t="n">
        <x:f>H11*'Case Inputs'!$C$2*'Case Inputs'!$D$2*'Case Inputs'!$E$2</x:f>
        <x:v>0.47250000000000003</x:v>
      </x:c>
      <x:c r="J11" s="32" t="n">
        <x:f>IF(AND(C11&gt;='Case Inputs'!$F$2,D11&gt;='Inputs'!$B$16),E11*'Inputs'!$B$14*'Inputs'!$B$15/'Inputs'!$B$27,0)</x:f>
        <x:v>0</x:v>
      </x:c>
      <x:c r="K11" s="24" t="n">
        <x:v>0</x:v>
      </x:c>
      <x:c r="L11" s="32" t="n">
        <x:f>IF(C11&lt;='Inputs'!$B$33,'Case Inputs'!$J$2,'Case Inputs'!$K$2)</x:f>
        <x:v>75</x:v>
      </x:c>
      <x:c r="M11" s="34" t="n">
        <x:f>K11*L11</x:f>
        <x:v>0</x:v>
      </x:c>
      <x:c r="N11" s="25" t="n">
        <x:f>IF(C11&gt;='Case Inputs'!$H$2,D11*'Case Inputs'!$I$2,0)</x:f>
        <x:v>0</x:v>
      </x:c>
      <x:c r="O11" s="32" t="n">
        <x:f>N11*'Inputs'!$B$20</x:f>
        <x:v>0</x:v>
      </x:c>
      <x:c r="P11" s="34" t="n">
        <x:f>SUM(I11:J11)+M11+O11</x:f>
        <x:v>0.47250000000000003</x:v>
      </x:c>
      <x:c r="Q11" s="32" t="n">
        <x:f>IF(F11&lt;='Inputs'!$B$7,0,IF(F11&lt;='Inputs'!$B$8,'Inputs'!$B$10,IF(F11&lt;='Inputs'!$B$9,'Inputs'!$B$11,'Inputs'!$B$12)))</x:f>
        <x:v>0</x:v>
      </x:c>
      <x:c r="R11" s="32" t="n">
        <x:f>'Inputs'!$B$6+Q11+D11*'Inputs'!$B$13</x:f>
        <x:v>20.35</x:v>
      </x:c>
      <x:c r="S11" s="32" t="n">
        <x:f>IF(C11&gt;='Inputs'!$B$32,'Case Inputs'!$L$2,0)</x:f>
        <x:v>0</x:v>
      </x:c>
      <x:c r="T11" s="32" t="n">
        <x:f>(M11+O11)*'Inputs'!$B$17+(K11*'Inputs'!$B$28+N11*'Inputs'!$B$29)*'Inputs'!$B$18+O11*'Inputs'!$B$19</x:f>
        <x:v>0</x:v>
      </x:c>
      <x:c r="U11" s="34" t="n">
        <x:f>SUM(R11:T11)</x:f>
        <x:v>20.35</x:v>
      </x:c>
      <x:c r="V11" s="34" t="n">
        <x:f>P11-U11</x:f>
        <x:v>-19.8775</x:v>
      </x:c>
      <x:c r="W11" s="28" t="n">
        <x:f>IF(P11=0,"",V11/P11)</x:f>
        <x:v>-42.06878306878307</x:v>
      </x:c>
      <x:c r="X11" s="32" t="n">
        <x:f>'Inputs'!$B$21</x:f>
        <x:v>100</x:v>
      </x:c>
      <x:c r="Y11" s="32" t="n">
        <x:f>IF(OR(MONTH(B11)&gt;=9,MONTH(B11)&lt;=4),'Case Inputs'!$N$2,'Case Inputs'!$O$2)</x:f>
        <x:v>0</x:v>
      </x:c>
      <x:c r="Z11" s="32" t="n">
        <x:f>IF(C11&gt;='Inputs'!$B$32,'Case Inputs'!$P$2,0)</x:f>
        <x:v>0</x:v>
      </x:c>
      <x:c r="AA11" s="32" t="n">
        <x:f>IF(C11=1,'Case Inputs'!$M$2*'Inputs'!$B$30,IF(C11=2,'Case Inputs'!$M$2*'Inputs'!$B$31,0))</x:f>
        <x:v>0</x:v>
      </x:c>
      <x:c r="AB11" s="34" t="n">
        <x:f>V11-SUM(X11:AA11)</x:f>
        <x:v>-119.8775</x:v>
      </x:c>
      <x:c r="AC11" s="32" t="n">
        <x:f>IF(C11&gt;'Inputs'!$B$24,INDEX($I$2:$I$25,MAX(1,C11-'Inputs'!$B$24)),0)+IF(C11&gt;'Inputs'!$B$25,INDEX($J$2:$J$25,MAX(1,C11-'Inputs'!$B$25)),0)+M11+O11</x:f>
        <x:v>2.025</x:v>
      </x:c>
      <x:c r="AD11" s="34" t="n">
        <x:f>U11+SUM(X11:AA11)</x:f>
        <x:v>120.35</x:v>
      </x:c>
      <x:c r="AE11" s="34" t="n">
        <x:f>AC11-AD11</x:f>
        <x:v>-118.32499999999999</x:v>
      </x:c>
      <x:c r="AF11" s="34" t="n">
        <x:f>SUM($AE$2:AE11)</x:f>
        <x:v>-1650.4750000000001</x:v>
      </x:c>
      <x:c r="AG11" s="32" t="n">
        <x:f>'Inputs'!$B$22*'Inputs'!$B$23</x:f>
        <x:v>4000</x:v>
      </x:c>
      <x:c r="AH11" s="34" t="n">
        <x:f>AB11-AG11</x:f>
        <x:v>-4119.8775</x:v>
      </x:c>
    </x:row>
    <x:row r="12" ht="32" customHeight="1">
      <x:c r="A12" s="4" t="str">
        <x:v>Conservative</x:v>
      </x:c>
      <x:c r="B12" s="22" t="n">
        <x:v>46569</x:v>
      </x:c>
      <x:c r="C12" s="4" t="n">
        <x:v>11</x:v>
      </x:c>
      <x:c r="D12" s="24" t="n">
        <x:v>300</x:v>
      </x:c>
      <x:c r="E12" s="30" t="n">
        <x:f>D12*'Inputs'!$B$2*'Inputs'!$B$3</x:f>
        <x:v>1650.0000000000002</x:v>
      </x:c>
      <x:c r="F12" s="30" t="n">
        <x:f>E12*'Inputs'!$B$4</x:f>
        <x:v>13200.000000000002</x:v>
      </x:c>
      <x:c r="G12" s="30" t="n">
        <x:f>E12*'Inputs'!$B$5/'Inputs'!$B$26</x:f>
        <x:v>0.5775</x:v>
      </x:c>
      <x:c r="H12" s="30" t="n">
        <x:f>IF(C12&gt;='Case Inputs'!$G$2,D12*'Case Inputs'!$B$2,0)</x:f>
        <x:v>3</x:v>
      </x:c>
      <x:c r="I12" s="32" t="n">
        <x:f>H12*'Case Inputs'!$C$2*'Case Inputs'!$D$2*'Case Inputs'!$E$2</x:f>
        <x:v>0.405</x:v>
      </x:c>
      <x:c r="J12" s="32" t="n">
        <x:f>IF(AND(C12&gt;='Case Inputs'!$F$2,D12&gt;='Inputs'!$B$16),E12*'Inputs'!$B$14*'Inputs'!$B$15/'Inputs'!$B$27,0)</x:f>
        <x:v>0</x:v>
      </x:c>
      <x:c r="K12" s="24" t="n">
        <x:v>0</x:v>
      </x:c>
      <x:c r="L12" s="32" t="n">
        <x:f>IF(C12&lt;='Inputs'!$B$33,'Case Inputs'!$J$2,'Case Inputs'!$K$2)</x:f>
        <x:v>75</x:v>
      </x:c>
      <x:c r="M12" s="34" t="n">
        <x:f>K12*L12</x:f>
        <x:v>0</x:v>
      </x:c>
      <x:c r="N12" s="25" t="n">
        <x:f>IF(C12&gt;='Case Inputs'!$H$2,D12*'Case Inputs'!$I$2,0)</x:f>
        <x:v>0</x:v>
      </x:c>
      <x:c r="O12" s="32" t="n">
        <x:f>N12*'Inputs'!$B$20</x:f>
        <x:v>0</x:v>
      </x:c>
      <x:c r="P12" s="34" t="n">
        <x:f>SUM(I12:J12)+M12+O12</x:f>
        <x:v>0.405</x:v>
      </x:c>
      <x:c r="Q12" s="32" t="n">
        <x:f>IF(F12&lt;='Inputs'!$B$7,0,IF(F12&lt;='Inputs'!$B$8,'Inputs'!$B$10,IF(F12&lt;='Inputs'!$B$9,'Inputs'!$B$11,'Inputs'!$B$12)))</x:f>
        <x:v>0</x:v>
      </x:c>
      <x:c r="R12" s="32" t="n">
        <x:f>'Inputs'!$B$6+Q12+D12*'Inputs'!$B$13</x:f>
        <x:v>20.3</x:v>
      </x:c>
      <x:c r="S12" s="32" t="n">
        <x:f>IF(C12&gt;='Inputs'!$B$32,'Case Inputs'!$L$2,0)</x:f>
        <x:v>0</x:v>
      </x:c>
      <x:c r="T12" s="32" t="n">
        <x:f>(M12+O12)*'Inputs'!$B$17+(K12*'Inputs'!$B$28+N12*'Inputs'!$B$29)*'Inputs'!$B$18+O12*'Inputs'!$B$19</x:f>
        <x:v>0</x:v>
      </x:c>
      <x:c r="U12" s="34" t="n">
        <x:f>SUM(R12:T12)</x:f>
        <x:v>20.3</x:v>
      </x:c>
      <x:c r="V12" s="34" t="n">
        <x:f>P12-U12</x:f>
        <x:v>-19.895</x:v>
      </x:c>
      <x:c r="W12" s="28" t="n">
        <x:f>IF(P12=0,"",V12/P12)</x:f>
        <x:v>-49.123456790123456</x:v>
      </x:c>
      <x:c r="X12" s="32" t="n">
        <x:f>'Inputs'!$B$21</x:f>
        <x:v>100</x:v>
      </x:c>
      <x:c r="Y12" s="32" t="n">
        <x:f>IF(OR(MONTH(B12)&gt;=9,MONTH(B12)&lt;=4),'Case Inputs'!$N$2,'Case Inputs'!$O$2)</x:f>
        <x:v>0</x:v>
      </x:c>
      <x:c r="Z12" s="32" t="n">
        <x:f>IF(C12&gt;='Inputs'!$B$32,'Case Inputs'!$P$2,0)</x:f>
        <x:v>0</x:v>
      </x:c>
      <x:c r="AA12" s="32" t="n">
        <x:f>IF(C12=1,'Case Inputs'!$M$2*'Inputs'!$B$30,IF(C12=2,'Case Inputs'!$M$2*'Inputs'!$B$31,0))</x:f>
        <x:v>0</x:v>
      </x:c>
      <x:c r="AB12" s="34" t="n">
        <x:f>V12-SUM(X12:AA12)</x:f>
        <x:v>-119.895</x:v>
      </x:c>
      <x:c r="AC12" s="32" t="n">
        <x:f>IF(C12&gt;'Inputs'!$B$24,INDEX($I$2:$I$25,MAX(1,C12-'Inputs'!$B$24)),0)+IF(C12&gt;'Inputs'!$B$25,INDEX($J$2:$J$25,MAX(1,C12-'Inputs'!$B$25)),0)+M12+O12</x:f>
        <x:v>0.6749999999999999</x:v>
      </x:c>
      <x:c r="AD12" s="34" t="n">
        <x:f>U12+SUM(X12:AA12)</x:f>
        <x:v>120.3</x:v>
      </x:c>
      <x:c r="AE12" s="34" t="n">
        <x:f>AC12-AD12</x:f>
        <x:v>-119.625</x:v>
      </x:c>
      <x:c r="AF12" s="34" t="n">
        <x:f>SUM($AE$2:AE12)</x:f>
        <x:v>-1770.1000000000001</x:v>
      </x:c>
      <x:c r="AG12" s="32" t="n">
        <x:f>'Inputs'!$B$22*'Inputs'!$B$23</x:f>
        <x:v>4000</x:v>
      </x:c>
      <x:c r="AH12" s="34" t="n">
        <x:f>AB12-AG12</x:f>
        <x:v>-4119.895</x:v>
      </x:c>
    </x:row>
    <x:row r="13" ht="32" customHeight="1">
      <x:c r="A13" s="4" t="str">
        <x:v>Conservative</x:v>
      </x:c>
      <x:c r="B13" s="22" t="n">
        <x:v>46600</x:v>
      </x:c>
      <x:c r="C13" s="4" t="n">
        <x:v>12</x:v>
      </x:c>
      <x:c r="D13" s="24" t="n">
        <x:v>400</x:v>
      </x:c>
      <x:c r="E13" s="30" t="n">
        <x:f>D13*'Inputs'!$B$2*'Inputs'!$B$3</x:f>
        <x:v>2200</x:v>
      </x:c>
      <x:c r="F13" s="30" t="n">
        <x:f>E13*'Inputs'!$B$4</x:f>
        <x:v>17600</x:v>
      </x:c>
      <x:c r="G13" s="30" t="n">
        <x:f>E13*'Inputs'!$B$5/'Inputs'!$B$26</x:f>
        <x:v>0.77</x:v>
      </x:c>
      <x:c r="H13" s="30" t="n">
        <x:f>IF(C13&gt;='Case Inputs'!$G$2,D13*'Case Inputs'!$B$2,0)</x:f>
        <x:v>4</x:v>
      </x:c>
      <x:c r="I13" s="32" t="n">
        <x:f>H13*'Case Inputs'!$C$2*'Case Inputs'!$D$2*'Case Inputs'!$E$2</x:f>
        <x:v>0.54</x:v>
      </x:c>
      <x:c r="J13" s="32" t="n">
        <x:f>IF(AND(C13&gt;='Case Inputs'!$F$2,D13&gt;='Inputs'!$B$16),E13*'Inputs'!$B$14*'Inputs'!$B$15/'Inputs'!$B$27,0)</x:f>
        <x:v>0</x:v>
      </x:c>
      <x:c r="K13" s="24" t="n">
        <x:v>0</x:v>
      </x:c>
      <x:c r="L13" s="32" t="n">
        <x:f>IF(C13&lt;='Inputs'!$B$33,'Case Inputs'!$J$2,'Case Inputs'!$K$2)</x:f>
        <x:v>75</x:v>
      </x:c>
      <x:c r="M13" s="34" t="n">
        <x:f>K13*L13</x:f>
        <x:v>0</x:v>
      </x:c>
      <x:c r="N13" s="25" t="n">
        <x:f>IF(C13&gt;='Case Inputs'!$H$2,D13*'Case Inputs'!$I$2,0)</x:f>
        <x:v>0</x:v>
      </x:c>
      <x:c r="O13" s="32" t="n">
        <x:f>N13*'Inputs'!$B$20</x:f>
        <x:v>0</x:v>
      </x:c>
      <x:c r="P13" s="34" t="n">
        <x:f>SUM(I13:J13)+M13+O13</x:f>
        <x:v>0.54</x:v>
      </x:c>
      <x:c r="Q13" s="32" t="n">
        <x:f>IF(F13&lt;='Inputs'!$B$7,0,IF(F13&lt;='Inputs'!$B$8,'Inputs'!$B$10,IF(F13&lt;='Inputs'!$B$9,'Inputs'!$B$11,'Inputs'!$B$12)))</x:f>
        <x:v>0</x:v>
      </x:c>
      <x:c r="R13" s="32" t="n">
        <x:f>'Inputs'!$B$6+Q13+D13*'Inputs'!$B$13</x:f>
        <x:v>20.4</x:v>
      </x:c>
      <x:c r="S13" s="32" t="n">
        <x:f>IF(C13&gt;='Inputs'!$B$32,'Case Inputs'!$L$2,0)</x:f>
        <x:v>0</x:v>
      </x:c>
      <x:c r="T13" s="32" t="n">
        <x:f>(M13+O13)*'Inputs'!$B$17+(K13*'Inputs'!$B$28+N13*'Inputs'!$B$29)*'Inputs'!$B$18+O13*'Inputs'!$B$19</x:f>
        <x:v>0</x:v>
      </x:c>
      <x:c r="U13" s="34" t="n">
        <x:f>SUM(R13:T13)</x:f>
        <x:v>20.4</x:v>
      </x:c>
      <x:c r="V13" s="34" t="n">
        <x:f>P13-U13</x:f>
        <x:v>-19.86</x:v>
      </x:c>
      <x:c r="W13" s="28" t="n">
        <x:f>IF(P13=0,"",V13/P13)</x:f>
        <x:v>-36.77777777777777</x:v>
      </x:c>
      <x:c r="X13" s="32" t="n">
        <x:f>'Inputs'!$B$21</x:f>
        <x:v>100</x:v>
      </x:c>
      <x:c r="Y13" s="32" t="n">
        <x:f>IF(OR(MONTH(B13)&gt;=9,MONTH(B13)&lt;=4),'Case Inputs'!$N$2,'Case Inputs'!$O$2)</x:f>
        <x:v>0</x:v>
      </x:c>
      <x:c r="Z13" s="32" t="n">
        <x:f>IF(C13&gt;='Inputs'!$B$32,'Case Inputs'!$P$2,0)</x:f>
        <x:v>0</x:v>
      </x:c>
      <x:c r="AA13" s="32" t="n">
        <x:f>IF(C13=1,'Case Inputs'!$M$2*'Inputs'!$B$30,IF(C13=2,'Case Inputs'!$M$2*'Inputs'!$B$31,0))</x:f>
        <x:v>0</x:v>
      </x:c>
      <x:c r="AB13" s="34" t="n">
        <x:f>V13-SUM(X13:AA13)</x:f>
        <x:v>-119.86</x:v>
      </x:c>
      <x:c r="AC13" s="32" t="n">
        <x:f>IF(C13&gt;'Inputs'!$B$24,INDEX($I$2:$I$25,MAX(1,C13-'Inputs'!$B$24)),0)+IF(C13&gt;'Inputs'!$B$25,INDEX($J$2:$J$25,MAX(1,C13-'Inputs'!$B$25)),0)+M13+O13</x:f>
        <x:v>0.47250000000000003</x:v>
      </x:c>
      <x:c r="AD13" s="34" t="n">
        <x:f>U13+SUM(X13:AA13)</x:f>
        <x:v>120.4</x:v>
      </x:c>
      <x:c r="AE13" s="34" t="n">
        <x:f>AC13-AD13</x:f>
        <x:v>-119.92750000000001</x:v>
      </x:c>
      <x:c r="AF13" s="34" t="n">
        <x:f>SUM($AE$2:AE13)</x:f>
        <x:v>-1890.0275000000001</x:v>
      </x:c>
      <x:c r="AG13" s="32" t="n">
        <x:f>'Inputs'!$B$22*'Inputs'!$B$23</x:f>
        <x:v>4000</x:v>
      </x:c>
      <x:c r="AH13" s="34" t="n">
        <x:f>AB13-AG13</x:f>
        <x:v>-4119.86</x:v>
      </x:c>
    </x:row>
    <x:row r="14" ht="32" customHeight="1">
      <x:c r="A14" s="4" t="str">
        <x:v>Conservative</x:v>
      </x:c>
      <x:c r="B14" s="22" t="n">
        <x:v>46631</x:v>
      </x:c>
      <x:c r="C14" s="4" t="n">
        <x:v>13</x:v>
      </x:c>
      <x:c r="D14" s="24" t="n">
        <x:v>800</x:v>
      </x:c>
      <x:c r="E14" s="30" t="n">
        <x:f>D14*'Inputs'!$B$2*'Inputs'!$B$3</x:f>
        <x:v>4400</x:v>
      </x:c>
      <x:c r="F14" s="30" t="n">
        <x:f>E14*'Inputs'!$B$4</x:f>
        <x:v>35200</x:v>
      </x:c>
      <x:c r="G14" s="30" t="n">
        <x:f>E14*'Inputs'!$B$5/'Inputs'!$B$26</x:f>
        <x:v>1.54</x:v>
      </x:c>
      <x:c r="H14" s="30" t="n">
        <x:f>IF(C14&gt;='Case Inputs'!$G$2,D14*'Case Inputs'!$B$2,0)</x:f>
        <x:v>8</x:v>
      </x:c>
      <x:c r="I14" s="32" t="n">
        <x:f>H14*'Case Inputs'!$C$2*'Case Inputs'!$D$2*'Case Inputs'!$E$2</x:f>
        <x:v>1.08</x:v>
      </x:c>
      <x:c r="J14" s="32" t="n">
        <x:f>IF(AND(C14&gt;='Case Inputs'!$F$2,D14&gt;='Inputs'!$B$16),E14*'Inputs'!$B$14*'Inputs'!$B$15/'Inputs'!$B$27,0)</x:f>
        <x:v>0</x:v>
      </x:c>
      <x:c r="K14" s="24" t="n">
        <x:v>0</x:v>
      </x:c>
      <x:c r="L14" s="32" t="n">
        <x:f>IF(C14&lt;='Inputs'!$B$33,'Case Inputs'!$J$2,'Case Inputs'!$K$2)</x:f>
        <x:v>100</x:v>
      </x:c>
      <x:c r="M14" s="34" t="n">
        <x:f>K14*L14</x:f>
        <x:v>0</x:v>
      </x:c>
      <x:c r="N14" s="25" t="n">
        <x:f>IF(C14&gt;='Case Inputs'!$H$2,D14*'Case Inputs'!$I$2,0)</x:f>
        <x:v>0</x:v>
      </x:c>
      <x:c r="O14" s="32" t="n">
        <x:f>N14*'Inputs'!$B$20</x:f>
        <x:v>0</x:v>
      </x:c>
      <x:c r="P14" s="34" t="n">
        <x:f>SUM(I14:J14)+M14+O14</x:f>
        <x:v>1.08</x:v>
      </x:c>
      <x:c r="Q14" s="32" t="n">
        <x:f>IF(F14&lt;='Inputs'!$B$7,0,IF(F14&lt;='Inputs'!$B$8,'Inputs'!$B$10,IF(F14&lt;='Inputs'!$B$9,'Inputs'!$B$11,'Inputs'!$B$12)))</x:f>
        <x:v>0</x:v>
      </x:c>
      <x:c r="R14" s="32" t="n">
        <x:f>'Inputs'!$B$6+Q14+D14*'Inputs'!$B$13</x:f>
        <x:v>20.8</x:v>
      </x:c>
      <x:c r="S14" s="32" t="n">
        <x:f>IF(C14&gt;='Inputs'!$B$32,'Case Inputs'!$L$2,0)</x:f>
        <x:v>0</x:v>
      </x:c>
      <x:c r="T14" s="32" t="n">
        <x:f>(M14+O14)*'Inputs'!$B$17+(K14*'Inputs'!$B$28+N14*'Inputs'!$B$29)*'Inputs'!$B$18+O14*'Inputs'!$B$19</x:f>
        <x:v>0</x:v>
      </x:c>
      <x:c r="U14" s="34" t="n">
        <x:f>SUM(R14:T14)</x:f>
        <x:v>20.8</x:v>
      </x:c>
      <x:c r="V14" s="34" t="n">
        <x:f>P14-U14</x:f>
        <x:v>-19.72</x:v>
      </x:c>
      <x:c r="W14" s="28" t="n">
        <x:f>IF(P14=0,"",V14/P14)</x:f>
        <x:v>-18.259259259259256</x:v>
      </x:c>
      <x:c r="X14" s="32" t="n">
        <x:f>'Inputs'!$B$21</x:f>
        <x:v>100</x:v>
      </x:c>
      <x:c r="Y14" s="32" t="n">
        <x:f>IF(OR(MONTH(B14)&gt;=9,MONTH(B14)&lt;=4),'Case Inputs'!$N$2,'Case Inputs'!$O$2)</x:f>
        <x:v>25</x:v>
      </x:c>
      <x:c r="Z14" s="32" t="n">
        <x:f>IF(C14&gt;='Inputs'!$B$32,'Case Inputs'!$P$2,0)</x:f>
        <x:v>0</x:v>
      </x:c>
      <x:c r="AA14" s="32" t="n">
        <x:f>IF(C14=1,'Case Inputs'!$M$2*'Inputs'!$B$30,IF(C14=2,'Case Inputs'!$M$2*'Inputs'!$B$31,0))</x:f>
        <x:v>0</x:v>
      </x:c>
      <x:c r="AB14" s="34" t="n">
        <x:f>V14-SUM(X14:AA14)</x:f>
        <x:v>-144.72</x:v>
      </x:c>
      <x:c r="AC14" s="32" t="n">
        <x:f>IF(C14&gt;'Inputs'!$B$24,INDEX($I$2:$I$25,MAX(1,C14-'Inputs'!$B$24)),0)+IF(C14&gt;'Inputs'!$B$25,INDEX($J$2:$J$25,MAX(1,C14-'Inputs'!$B$25)),0)+M14+O14</x:f>
        <x:v>0.405</x:v>
      </x:c>
      <x:c r="AD14" s="34" t="n">
        <x:f>U14+SUM(X14:AA14)</x:f>
        <x:v>145.8</x:v>
      </x:c>
      <x:c r="AE14" s="34" t="n">
        <x:f>AC14-AD14</x:f>
        <x:v>-145.395</x:v>
      </x:c>
      <x:c r="AF14" s="34" t="n">
        <x:f>SUM($AE$2:AE14)</x:f>
        <x:v>-2035.4225000000001</x:v>
      </x:c>
      <x:c r="AG14" s="32" t="n">
        <x:f>'Inputs'!$B$22*'Inputs'!$B$23</x:f>
        <x:v>4000</x:v>
      </x:c>
      <x:c r="AH14" s="34" t="n">
        <x:f>AB14-AG14</x:f>
        <x:v>-4144.72</x:v>
      </x:c>
    </x:row>
    <x:row r="15" ht="32" customHeight="1">
      <x:c r="A15" s="4" t="str">
        <x:v>Conservative</x:v>
      </x:c>
      <x:c r="B15" s="22" t="n">
        <x:v>46661</x:v>
      </x:c>
      <x:c r="C15" s="4" t="n">
        <x:v>14</x:v>
      </x:c>
      <x:c r="D15" s="24" t="n">
        <x:v>1500</x:v>
      </x:c>
      <x:c r="E15" s="30" t="n">
        <x:f>D15*'Inputs'!$B$2*'Inputs'!$B$3</x:f>
        <x:v>8250</x:v>
      </x:c>
      <x:c r="F15" s="30" t="n">
        <x:f>E15*'Inputs'!$B$4</x:f>
        <x:v>66000</x:v>
      </x:c>
      <x:c r="G15" s="30" t="n">
        <x:f>E15*'Inputs'!$B$5/'Inputs'!$B$26</x:f>
        <x:v>2.8875</x:v>
      </x:c>
      <x:c r="H15" s="30" t="n">
        <x:f>IF(C15&gt;='Case Inputs'!$G$2,D15*'Case Inputs'!$B$2,0)</x:f>
        <x:v>15</x:v>
      </x:c>
      <x:c r="I15" s="32" t="n">
        <x:f>H15*'Case Inputs'!$C$2*'Case Inputs'!$D$2*'Case Inputs'!$E$2</x:f>
        <x:v>2.025</x:v>
      </x:c>
      <x:c r="J15" s="32" t="n">
        <x:f>IF(AND(C15&gt;='Case Inputs'!$F$2,D15&gt;='Inputs'!$B$16),E15*'Inputs'!$B$14*'Inputs'!$B$15/'Inputs'!$B$27,0)</x:f>
        <x:v>0</x:v>
      </x:c>
      <x:c r="K15" s="24" t="n">
        <x:v>0</x:v>
      </x:c>
      <x:c r="L15" s="32" t="n">
        <x:f>IF(C15&lt;='Inputs'!$B$33,'Case Inputs'!$J$2,'Case Inputs'!$K$2)</x:f>
        <x:v>100</x:v>
      </x:c>
      <x:c r="M15" s="34" t="n">
        <x:f>K15*L15</x:f>
        <x:v>0</x:v>
      </x:c>
      <x:c r="N15" s="25" t="n">
        <x:f>IF(C15&gt;='Case Inputs'!$H$2,D15*'Case Inputs'!$I$2,0)</x:f>
        <x:v>0</x:v>
      </x:c>
      <x:c r="O15" s="32" t="n">
        <x:f>N15*'Inputs'!$B$20</x:f>
        <x:v>0</x:v>
      </x:c>
      <x:c r="P15" s="34" t="n">
        <x:f>SUM(I15:J15)+M15+O15</x:f>
        <x:v>2.025</x:v>
      </x:c>
      <x:c r="Q15" s="32" t="n">
        <x:f>IF(F15&lt;='Inputs'!$B$7,0,IF(F15&lt;='Inputs'!$B$8,'Inputs'!$B$10,IF(F15&lt;='Inputs'!$B$9,'Inputs'!$B$11,'Inputs'!$B$12)))</x:f>
        <x:v>0</x:v>
      </x:c>
      <x:c r="R15" s="32" t="n">
        <x:f>'Inputs'!$B$6+Q15+D15*'Inputs'!$B$13</x:f>
        <x:v>21.5</x:v>
      </x:c>
      <x:c r="S15" s="32" t="n">
        <x:f>IF(C15&gt;='Inputs'!$B$32,'Case Inputs'!$L$2,0)</x:f>
        <x:v>0</x:v>
      </x:c>
      <x:c r="T15" s="32" t="n">
        <x:f>(M15+O15)*'Inputs'!$B$17+(K15*'Inputs'!$B$28+N15*'Inputs'!$B$29)*'Inputs'!$B$18+O15*'Inputs'!$B$19</x:f>
        <x:v>0</x:v>
      </x:c>
      <x:c r="U15" s="34" t="n">
        <x:f>SUM(R15:T15)</x:f>
        <x:v>21.5</x:v>
      </x:c>
      <x:c r="V15" s="34" t="n">
        <x:f>P15-U15</x:f>
        <x:v>-19.475</x:v>
      </x:c>
      <x:c r="W15" s="28" t="n">
        <x:f>IF(P15=0,"",V15/P15)</x:f>
        <x:v>-9.617283950617285</x:v>
      </x:c>
      <x:c r="X15" s="32" t="n">
        <x:f>'Inputs'!$B$21</x:f>
        <x:v>100</x:v>
      </x:c>
      <x:c r="Y15" s="32" t="n">
        <x:f>IF(OR(MONTH(B15)&gt;=9,MONTH(B15)&lt;=4),'Case Inputs'!$N$2,'Case Inputs'!$O$2)</x:f>
        <x:v>25</x:v>
      </x:c>
      <x:c r="Z15" s="32" t="n">
        <x:f>IF(C15&gt;='Inputs'!$B$32,'Case Inputs'!$P$2,0)</x:f>
        <x:v>0</x:v>
      </x:c>
      <x:c r="AA15" s="32" t="n">
        <x:f>IF(C15=1,'Case Inputs'!$M$2*'Inputs'!$B$30,IF(C15=2,'Case Inputs'!$M$2*'Inputs'!$B$31,0))</x:f>
        <x:v>0</x:v>
      </x:c>
      <x:c r="AB15" s="34" t="n">
        <x:f>V15-SUM(X15:AA15)</x:f>
        <x:v>-144.475</x:v>
      </x:c>
      <x:c r="AC15" s="32" t="n">
        <x:f>IF(C15&gt;'Inputs'!$B$24,INDEX($I$2:$I$25,MAX(1,C15-'Inputs'!$B$24)),0)+IF(C15&gt;'Inputs'!$B$25,INDEX($J$2:$J$25,MAX(1,C15-'Inputs'!$B$25)),0)+M15+O15</x:f>
        <x:v>0.54</x:v>
      </x:c>
      <x:c r="AD15" s="34" t="n">
        <x:f>U15+SUM(X15:AA15)</x:f>
        <x:v>146.5</x:v>
      </x:c>
      <x:c r="AE15" s="34" t="n">
        <x:f>AC15-AD15</x:f>
        <x:v>-145.96</x:v>
      </x:c>
      <x:c r="AF15" s="34" t="n">
        <x:f>SUM($AE$2:AE15)</x:f>
        <x:v>-2181.3825</x:v>
      </x:c>
      <x:c r="AG15" s="32" t="n">
        <x:f>'Inputs'!$B$22*'Inputs'!$B$23</x:f>
        <x:v>4000</x:v>
      </x:c>
      <x:c r="AH15" s="34" t="n">
        <x:f>AB15-AG15</x:f>
        <x:v>-4144.475</x:v>
      </x:c>
    </x:row>
    <x:row r="16" ht="32" customHeight="1">
      <x:c r="A16" s="4" t="str">
        <x:v>Conservative</x:v>
      </x:c>
      <x:c r="B16" s="22" t="n">
        <x:v>46692</x:v>
      </x:c>
      <x:c r="C16" s="4" t="n">
        <x:v>15</x:v>
      </x:c>
      <x:c r="D16" s="24" t="n">
        <x:v>3000</x:v>
      </x:c>
      <x:c r="E16" s="30" t="n">
        <x:f>D16*'Inputs'!$B$2*'Inputs'!$B$3</x:f>
        <x:v>16500</x:v>
      </x:c>
      <x:c r="F16" s="30" t="n">
        <x:f>E16*'Inputs'!$B$4</x:f>
        <x:v>132000</x:v>
      </x:c>
      <x:c r="G16" s="30" t="n">
        <x:f>E16*'Inputs'!$B$5/'Inputs'!$B$26</x:f>
        <x:v>5.775</x:v>
      </x:c>
      <x:c r="H16" s="30" t="n">
        <x:f>IF(C16&gt;='Case Inputs'!$G$2,D16*'Case Inputs'!$B$2,0)</x:f>
        <x:v>30</x:v>
      </x:c>
      <x:c r="I16" s="32" t="n">
        <x:f>H16*'Case Inputs'!$C$2*'Case Inputs'!$D$2*'Case Inputs'!$E$2</x:f>
        <x:v>4.05</x:v>
      </x:c>
      <x:c r="J16" s="32" t="n">
        <x:f>IF(AND(C16&gt;='Case Inputs'!$F$2,D16&gt;='Inputs'!$B$16),E16*'Inputs'!$B$14*'Inputs'!$B$15/'Inputs'!$B$27,0)</x:f>
        <x:v>0</x:v>
      </x:c>
      <x:c r="K16" s="24" t="n">
        <x:v>1</x:v>
      </x:c>
      <x:c r="L16" s="32" t="n">
        <x:f>IF(C16&lt;='Inputs'!$B$33,'Case Inputs'!$J$2,'Case Inputs'!$K$2)</x:f>
        <x:v>100</x:v>
      </x:c>
      <x:c r="M16" s="34" t="n">
        <x:f>K16*L16</x:f>
        <x:v>100</x:v>
      </x:c>
      <x:c r="N16" s="25" t="n">
        <x:f>IF(C16&gt;='Case Inputs'!$H$2,D16*'Case Inputs'!$I$2,0)</x:f>
        <x:v>0</x:v>
      </x:c>
      <x:c r="O16" s="32" t="n">
        <x:f>N16*'Inputs'!$B$20</x:f>
        <x:v>0</x:v>
      </x:c>
      <x:c r="P16" s="34" t="n">
        <x:f>SUM(I16:J16)+M16+O16</x:f>
        <x:v>104.05</x:v>
      </x:c>
      <x:c r="Q16" s="32" t="n">
        <x:f>IF(F16&lt;='Inputs'!$B$7,0,IF(F16&lt;='Inputs'!$B$8,'Inputs'!$B$10,IF(F16&lt;='Inputs'!$B$9,'Inputs'!$B$11,'Inputs'!$B$12)))</x:f>
        <x:v>0</x:v>
      </x:c>
      <x:c r="R16" s="32" t="n">
        <x:f>'Inputs'!$B$6+Q16+D16*'Inputs'!$B$13</x:f>
        <x:v>23</x:v>
      </x:c>
      <x:c r="S16" s="32" t="n">
        <x:f>IF(C16&gt;='Inputs'!$B$32,'Case Inputs'!$L$2,0)</x:f>
        <x:v>0</x:v>
      </x:c>
      <x:c r="T16" s="32" t="n">
        <x:f>(M16+O16)*'Inputs'!$B$17+(K16*'Inputs'!$B$28+N16*'Inputs'!$B$29)*'Inputs'!$B$18+O16*'Inputs'!$B$19</x:f>
        <x:v>3.2</x:v>
      </x:c>
      <x:c r="U16" s="34" t="n">
        <x:f>SUM(R16:T16)</x:f>
        <x:v>26.2</x:v>
      </x:c>
      <x:c r="V16" s="34" t="n">
        <x:f>P16-U16</x:f>
        <x:v>77.85</x:v>
      </x:c>
      <x:c r="W16" s="28" t="n">
        <x:f>IF(P16=0,"",V16/P16)</x:f>
        <x:v>0.7481979817395482</x:v>
      </x:c>
      <x:c r="X16" s="32" t="n">
        <x:f>'Inputs'!$B$21</x:f>
        <x:v>100</x:v>
      </x:c>
      <x:c r="Y16" s="32" t="n">
        <x:f>IF(OR(MONTH(B16)&gt;=9,MONTH(B16)&lt;=4),'Case Inputs'!$N$2,'Case Inputs'!$O$2)</x:f>
        <x:v>25</x:v>
      </x:c>
      <x:c r="Z16" s="32" t="n">
        <x:f>IF(C16&gt;='Inputs'!$B$32,'Case Inputs'!$P$2,0)</x:f>
        <x:v>0</x:v>
      </x:c>
      <x:c r="AA16" s="32" t="n">
        <x:f>IF(C16=1,'Case Inputs'!$M$2*'Inputs'!$B$30,IF(C16=2,'Case Inputs'!$M$2*'Inputs'!$B$31,0))</x:f>
        <x:v>0</x:v>
      </x:c>
      <x:c r="AB16" s="34" t="n">
        <x:f>V16-SUM(X16:AA16)</x:f>
        <x:v>-47.150000000000006</x:v>
      </x:c>
      <x:c r="AC16" s="32" t="n">
        <x:f>IF(C16&gt;'Inputs'!$B$24,INDEX($I$2:$I$25,MAX(1,C16-'Inputs'!$B$24)),0)+IF(C16&gt;'Inputs'!$B$25,INDEX($J$2:$J$25,MAX(1,C16-'Inputs'!$B$25)),0)+M16+O16</x:f>
        <x:v>101.08</x:v>
      </x:c>
      <x:c r="AD16" s="34" t="n">
        <x:f>U16+SUM(X16:AA16)</x:f>
        <x:v>151.2</x:v>
      </x:c>
      <x:c r="AE16" s="34" t="n">
        <x:f>AC16-AD16</x:f>
        <x:v>-50.11999999999999</x:v>
      </x:c>
      <x:c r="AF16" s="34" t="n">
        <x:f>SUM($AE$2:AE16)</x:f>
        <x:v>-2231.5025</x:v>
      </x:c>
      <x:c r="AG16" s="32" t="n">
        <x:f>'Inputs'!$B$22*'Inputs'!$B$23</x:f>
        <x:v>4000</x:v>
      </x:c>
      <x:c r="AH16" s="34" t="n">
        <x:f>AB16-AG16</x:f>
        <x:v>-4047.15</x:v>
      </x:c>
    </x:row>
    <x:row r="17" ht="32" customHeight="1">
      <x:c r="A17" s="4" t="str">
        <x:v>Conservative</x:v>
      </x:c>
      <x:c r="B17" s="22" t="n">
        <x:v>46722</x:v>
      </x:c>
      <x:c r="C17" s="4" t="n">
        <x:v>16</x:v>
      </x:c>
      <x:c r="D17" s="24" t="n">
        <x:v>6000</x:v>
      </x:c>
      <x:c r="E17" s="30" t="n">
        <x:f>D17*'Inputs'!$B$2*'Inputs'!$B$3</x:f>
        <x:v>33000</x:v>
      </x:c>
      <x:c r="F17" s="30" t="n">
        <x:f>E17*'Inputs'!$B$4</x:f>
        <x:v>264000</x:v>
      </x:c>
      <x:c r="G17" s="30" t="n">
        <x:f>E17*'Inputs'!$B$5/'Inputs'!$B$26</x:f>
        <x:v>11.55</x:v>
      </x:c>
      <x:c r="H17" s="30" t="n">
        <x:f>IF(C17&gt;='Case Inputs'!$G$2,D17*'Case Inputs'!$B$2,0)</x:f>
        <x:v>60</x:v>
      </x:c>
      <x:c r="I17" s="32" t="n">
        <x:f>H17*'Case Inputs'!$C$2*'Case Inputs'!$D$2*'Case Inputs'!$E$2</x:f>
        <x:v>8.1</x:v>
      </x:c>
      <x:c r="J17" s="32" t="n">
        <x:f>IF(AND(C17&gt;='Case Inputs'!$F$2,D17&gt;='Inputs'!$B$16),E17*'Inputs'!$B$14*'Inputs'!$B$15/'Inputs'!$B$27,0)</x:f>
        <x:v>0</x:v>
      </x:c>
      <x:c r="K17" s="24" t="n">
        <x:v>1</x:v>
      </x:c>
      <x:c r="L17" s="32" t="n">
        <x:f>IF(C17&lt;='Inputs'!$B$33,'Case Inputs'!$J$2,'Case Inputs'!$K$2)</x:f>
        <x:v>100</x:v>
      </x:c>
      <x:c r="M17" s="34" t="n">
        <x:f>K17*L17</x:f>
        <x:v>100</x:v>
      </x:c>
      <x:c r="N17" s="25" t="n">
        <x:f>IF(C17&gt;='Case Inputs'!$H$2,D17*'Case Inputs'!$I$2,0)</x:f>
        <x:v>0</x:v>
      </x:c>
      <x:c r="O17" s="32" t="n">
        <x:f>N17*'Inputs'!$B$20</x:f>
        <x:v>0</x:v>
      </x:c>
      <x:c r="P17" s="34" t="n">
        <x:f>SUM(I17:J17)+M17+O17</x:f>
        <x:v>108.1</x:v>
      </x:c>
      <x:c r="Q17" s="32" t="n">
        <x:f>IF(F17&lt;='Inputs'!$B$7,0,IF(F17&lt;='Inputs'!$B$8,'Inputs'!$B$10,IF(F17&lt;='Inputs'!$B$9,'Inputs'!$B$11,'Inputs'!$B$12)))</x:f>
        <x:v>0</x:v>
      </x:c>
      <x:c r="R17" s="32" t="n">
        <x:f>'Inputs'!$B$6+Q17+D17*'Inputs'!$B$13</x:f>
        <x:v>26</x:v>
      </x:c>
      <x:c r="S17" s="32" t="n">
        <x:f>IF(C17&gt;='Inputs'!$B$32,'Case Inputs'!$L$2,0)</x:f>
        <x:v>0</x:v>
      </x:c>
      <x:c r="T17" s="32" t="n">
        <x:f>(M17+O17)*'Inputs'!$B$17+(K17*'Inputs'!$B$28+N17*'Inputs'!$B$29)*'Inputs'!$B$18+O17*'Inputs'!$B$19</x:f>
        <x:v>3.2</x:v>
      </x:c>
      <x:c r="U17" s="34" t="n">
        <x:f>SUM(R17:T17)</x:f>
        <x:v>29.2</x:v>
      </x:c>
      <x:c r="V17" s="34" t="n">
        <x:f>P17-U17</x:f>
        <x:v>78.89999999999999</x:v>
      </x:c>
      <x:c r="W17" s="28" t="n">
        <x:f>IF(P17=0,"",V17/P17)</x:f>
        <x:v>0.7298797409805735</x:v>
      </x:c>
      <x:c r="X17" s="32" t="n">
        <x:f>'Inputs'!$B$21</x:f>
        <x:v>100</x:v>
      </x:c>
      <x:c r="Y17" s="32" t="n">
        <x:f>IF(OR(MONTH(B17)&gt;=9,MONTH(B17)&lt;=4),'Case Inputs'!$N$2,'Case Inputs'!$O$2)</x:f>
        <x:v>25</x:v>
      </x:c>
      <x:c r="Z17" s="32" t="n">
        <x:f>IF(C17&gt;='Inputs'!$B$32,'Case Inputs'!$P$2,0)</x:f>
        <x:v>0</x:v>
      </x:c>
      <x:c r="AA17" s="32" t="n">
        <x:f>IF(C17=1,'Case Inputs'!$M$2*'Inputs'!$B$30,IF(C17=2,'Case Inputs'!$M$2*'Inputs'!$B$31,0))</x:f>
        <x:v>0</x:v>
      </x:c>
      <x:c r="AB17" s="34" t="n">
        <x:f>V17-SUM(X17:AA17)</x:f>
        <x:v>-46.10000000000001</x:v>
      </x:c>
      <x:c r="AC17" s="32" t="n">
        <x:f>IF(C17&gt;'Inputs'!$B$24,INDEX($I$2:$I$25,MAX(1,C17-'Inputs'!$B$24)),0)+IF(C17&gt;'Inputs'!$B$25,INDEX($J$2:$J$25,MAX(1,C17-'Inputs'!$B$25)),0)+M17+O17</x:f>
        <x:v>102.025</x:v>
      </x:c>
      <x:c r="AD17" s="34" t="n">
        <x:f>U17+SUM(X17:AA17)</x:f>
        <x:v>154.2</x:v>
      </x:c>
      <x:c r="AE17" s="34" t="n">
        <x:f>AC17-AD17</x:f>
        <x:v>-52.17499999999998</x:v>
      </x:c>
      <x:c r="AF17" s="34" t="n">
        <x:f>SUM($AE$2:AE17)</x:f>
        <x:v>-2283.6775000000002</x:v>
      </x:c>
      <x:c r="AG17" s="32" t="n">
        <x:f>'Inputs'!$B$22*'Inputs'!$B$23</x:f>
        <x:v>4000</x:v>
      </x:c>
      <x:c r="AH17" s="34" t="n">
        <x:f>AB17-AG17</x:f>
        <x:v>-4046.1</x:v>
      </x:c>
    </x:row>
    <x:row r="18" ht="32" customHeight="1">
      <x:c r="A18" s="4" t="str">
        <x:v>Conservative</x:v>
      </x:c>
      <x:c r="B18" s="22" t="n">
        <x:v>46753</x:v>
      </x:c>
      <x:c r="C18" s="4" t="n">
        <x:v>17</x:v>
      </x:c>
      <x:c r="D18" s="24" t="n">
        <x:v>9000</x:v>
      </x:c>
      <x:c r="E18" s="30" t="n">
        <x:f>D18*'Inputs'!$B$2*'Inputs'!$B$3</x:f>
        <x:v>49500.00000000001</x:v>
      </x:c>
      <x:c r="F18" s="30" t="n">
        <x:f>E18*'Inputs'!$B$4</x:f>
        <x:v>396000.00000000006</x:v>
      </x:c>
      <x:c r="G18" s="30" t="n">
        <x:f>E18*'Inputs'!$B$5/'Inputs'!$B$26</x:f>
        <x:v>17.325</x:v>
      </x:c>
      <x:c r="H18" s="30" t="n">
        <x:f>IF(C18&gt;='Case Inputs'!$G$2,D18*'Case Inputs'!$B$2,0)</x:f>
        <x:v>90</x:v>
      </x:c>
      <x:c r="I18" s="32" t="n">
        <x:f>H18*'Case Inputs'!$C$2*'Case Inputs'!$D$2*'Case Inputs'!$E$2</x:f>
        <x:v>12.149999999999999</x:v>
      </x:c>
      <x:c r="J18" s="32" t="n">
        <x:f>IF(AND(C18&gt;='Case Inputs'!$F$2,D18&gt;='Inputs'!$B$16),E18*'Inputs'!$B$14*'Inputs'!$B$15/'Inputs'!$B$27,0)</x:f>
        <x:v>0</x:v>
      </x:c>
      <x:c r="K18" s="24" t="n">
        <x:v>1</x:v>
      </x:c>
      <x:c r="L18" s="32" t="n">
        <x:f>IF(C18&lt;='Inputs'!$B$33,'Case Inputs'!$J$2,'Case Inputs'!$K$2)</x:f>
        <x:v>100</x:v>
      </x:c>
      <x:c r="M18" s="34" t="n">
        <x:f>K18*L18</x:f>
        <x:v>100</x:v>
      </x:c>
      <x:c r="N18" s="25" t="n">
        <x:f>IF(C18&gt;='Case Inputs'!$H$2,D18*'Case Inputs'!$I$2,0)</x:f>
        <x:v>0</x:v>
      </x:c>
      <x:c r="O18" s="32" t="n">
        <x:f>N18*'Inputs'!$B$20</x:f>
        <x:v>0</x:v>
      </x:c>
      <x:c r="P18" s="34" t="n">
        <x:f>SUM(I18:J18)+M18+O18</x:f>
        <x:v>112.15</x:v>
      </x:c>
      <x:c r="Q18" s="32" t="n">
        <x:f>IF(F18&lt;='Inputs'!$B$7,0,IF(F18&lt;='Inputs'!$B$8,'Inputs'!$B$10,IF(F18&lt;='Inputs'!$B$9,'Inputs'!$B$11,'Inputs'!$B$12)))</x:f>
        <x:v>0</x:v>
      </x:c>
      <x:c r="R18" s="32" t="n">
        <x:f>'Inputs'!$B$6+Q18+D18*'Inputs'!$B$13</x:f>
        <x:v>29</x:v>
      </x:c>
      <x:c r="S18" s="32" t="n">
        <x:f>IF(C18&gt;='Inputs'!$B$32,'Case Inputs'!$L$2,0)</x:f>
        <x:v>0</x:v>
      </x:c>
      <x:c r="T18" s="32" t="n">
        <x:f>(M18+O18)*'Inputs'!$B$17+(K18*'Inputs'!$B$28+N18*'Inputs'!$B$29)*'Inputs'!$B$18+O18*'Inputs'!$B$19</x:f>
        <x:v>3.2</x:v>
      </x:c>
      <x:c r="U18" s="34" t="n">
        <x:f>SUM(R18:T18)</x:f>
        <x:v>32.2</x:v>
      </x:c>
      <x:c r="V18" s="34" t="n">
        <x:f>P18-U18</x:f>
        <x:v>79.95</x:v>
      </x:c>
      <x:c r="W18" s="28" t="n">
        <x:f>IF(P18=0,"",V18/P18)</x:f>
        <x:v>0.7128845296477931</x:v>
      </x:c>
      <x:c r="X18" s="32" t="n">
        <x:f>'Inputs'!$B$21</x:f>
        <x:v>100</x:v>
      </x:c>
      <x:c r="Y18" s="32" t="n">
        <x:f>IF(OR(MONTH(B18)&gt;=9,MONTH(B18)&lt;=4),'Case Inputs'!$N$2,'Case Inputs'!$O$2)</x:f>
        <x:v>25</x:v>
      </x:c>
      <x:c r="Z18" s="32" t="n">
        <x:f>IF(C18&gt;='Inputs'!$B$32,'Case Inputs'!$P$2,0)</x:f>
        <x:v>0</x:v>
      </x:c>
      <x:c r="AA18" s="32" t="n">
        <x:f>IF(C18=1,'Case Inputs'!$M$2*'Inputs'!$B$30,IF(C18=2,'Case Inputs'!$M$2*'Inputs'!$B$31,0))</x:f>
        <x:v>0</x:v>
      </x:c>
      <x:c r="AB18" s="34" t="n">
        <x:f>V18-SUM(X18:AA18)</x:f>
        <x:v>-45.05</x:v>
      </x:c>
      <x:c r="AC18" s="32" t="n">
        <x:f>IF(C18&gt;'Inputs'!$B$24,INDEX($I$2:$I$25,MAX(1,C18-'Inputs'!$B$24)),0)+IF(C18&gt;'Inputs'!$B$25,INDEX($J$2:$J$25,MAX(1,C18-'Inputs'!$B$25)),0)+M18+O18</x:f>
        <x:v>104.05</x:v>
      </x:c>
      <x:c r="AD18" s="34" t="n">
        <x:f>U18+SUM(X18:AA18)</x:f>
        <x:v>157.2</x:v>
      </x:c>
      <x:c r="AE18" s="34" t="n">
        <x:f>AC18-AD18</x:f>
        <x:v>-53.14999999999999</x:v>
      </x:c>
      <x:c r="AF18" s="34" t="n">
        <x:f>SUM($AE$2:AE18)</x:f>
        <x:v>-2336.8275000000003</x:v>
      </x:c>
      <x:c r="AG18" s="32" t="n">
        <x:f>'Inputs'!$B$22*'Inputs'!$B$23</x:f>
        <x:v>4000</x:v>
      </x:c>
      <x:c r="AH18" s="34" t="n">
        <x:f>AB18-AG18</x:f>
        <x:v>-4045.05</x:v>
      </x:c>
    </x:row>
    <x:row r="19" ht="32" customHeight="1">
      <x:c r="A19" s="4" t="str">
        <x:v>Conservative</x:v>
      </x:c>
      <x:c r="B19" s="22" t="n">
        <x:v>46784</x:v>
      </x:c>
      <x:c r="C19" s="4" t="n">
        <x:v>18</x:v>
      </x:c>
      <x:c r="D19" s="24" t="n">
        <x:v>12000</x:v>
      </x:c>
      <x:c r="E19" s="30" t="n">
        <x:f>D19*'Inputs'!$B$2*'Inputs'!$B$3</x:f>
        <x:v>66000</x:v>
      </x:c>
      <x:c r="F19" s="30" t="n">
        <x:f>E19*'Inputs'!$B$4</x:f>
        <x:v>528000</x:v>
      </x:c>
      <x:c r="G19" s="30" t="n">
        <x:f>E19*'Inputs'!$B$5/'Inputs'!$B$26</x:f>
        <x:v>23.1</x:v>
      </x:c>
      <x:c r="H19" s="30" t="n">
        <x:f>IF(C19&gt;='Case Inputs'!$G$2,D19*'Case Inputs'!$B$2,0)</x:f>
        <x:v>120</x:v>
      </x:c>
      <x:c r="I19" s="32" t="n">
        <x:f>H19*'Case Inputs'!$C$2*'Case Inputs'!$D$2*'Case Inputs'!$E$2</x:f>
        <x:v>16.2</x:v>
      </x:c>
      <x:c r="J19" s="32" t="n">
        <x:f>IF(AND(C19&gt;='Case Inputs'!$F$2,D19&gt;='Inputs'!$B$16),E19*'Inputs'!$B$14*'Inputs'!$B$15/'Inputs'!$B$27,0)</x:f>
        <x:v>198</x:v>
      </x:c>
      <x:c r="K19" s="24" t="n">
        <x:v>2</x:v>
      </x:c>
      <x:c r="L19" s="32" t="n">
        <x:f>IF(C19&lt;='Inputs'!$B$33,'Case Inputs'!$J$2,'Case Inputs'!$K$2)</x:f>
        <x:v>100</x:v>
      </x:c>
      <x:c r="M19" s="34" t="n">
        <x:f>K19*L19</x:f>
        <x:v>200</x:v>
      </x:c>
      <x:c r="N19" s="25" t="n">
        <x:f>IF(C19&gt;='Case Inputs'!$H$2,D19*'Case Inputs'!$I$2,0)</x:f>
        <x:v>0</x:v>
      </x:c>
      <x:c r="O19" s="32" t="n">
        <x:f>N19*'Inputs'!$B$20</x:f>
        <x:v>0</x:v>
      </x:c>
      <x:c r="P19" s="34" t="n">
        <x:f>SUM(I19:J19)+M19+O19</x:f>
        <x:v>414.2</x:v>
      </x:c>
      <x:c r="Q19" s="32" t="n">
        <x:f>IF(F19&lt;='Inputs'!$B$7,0,IF(F19&lt;='Inputs'!$B$8,'Inputs'!$B$10,IF(F19&lt;='Inputs'!$B$9,'Inputs'!$B$11,'Inputs'!$B$12)))</x:f>
        <x:v>0</x:v>
      </x:c>
      <x:c r="R19" s="32" t="n">
        <x:f>'Inputs'!$B$6+Q19+D19*'Inputs'!$B$13</x:f>
        <x:v>32</x:v>
      </x:c>
      <x:c r="S19" s="32" t="n">
        <x:f>IF(C19&gt;='Inputs'!$B$32,'Case Inputs'!$L$2,0)</x:f>
        <x:v>0</x:v>
      </x:c>
      <x:c r="T19" s="32" t="n">
        <x:f>(M19+O19)*'Inputs'!$B$17+(K19*'Inputs'!$B$28+N19*'Inputs'!$B$29)*'Inputs'!$B$18+O19*'Inputs'!$B$19</x:f>
        <x:v>6.4</x:v>
      </x:c>
      <x:c r="U19" s="34" t="n">
        <x:f>SUM(R19:T19)</x:f>
        <x:v>38.4</x:v>
      </x:c>
      <x:c r="V19" s="34" t="n">
        <x:f>P19-U19</x:f>
        <x:v>375.8</x:v>
      </x:c>
      <x:c r="W19" s="28" t="n">
        <x:f>IF(P19=0,"",V19/P19)</x:f>
        <x:v>0.9072911636890392</x:v>
      </x:c>
      <x:c r="X19" s="32" t="n">
        <x:f>'Inputs'!$B$21</x:f>
        <x:v>100</x:v>
      </x:c>
      <x:c r="Y19" s="32" t="n">
        <x:f>IF(OR(MONTH(B19)&gt;=9,MONTH(B19)&lt;=4),'Case Inputs'!$N$2,'Case Inputs'!$O$2)</x:f>
        <x:v>25</x:v>
      </x:c>
      <x:c r="Z19" s="32" t="n">
        <x:f>IF(C19&gt;='Inputs'!$B$32,'Case Inputs'!$P$2,0)</x:f>
        <x:v>0</x:v>
      </x:c>
      <x:c r="AA19" s="32" t="n">
        <x:f>IF(C19=1,'Case Inputs'!$M$2*'Inputs'!$B$30,IF(C19=2,'Case Inputs'!$M$2*'Inputs'!$B$31,0))</x:f>
        <x:v>0</x:v>
      </x:c>
      <x:c r="AB19" s="34" t="n">
        <x:f>V19-SUM(X19:AA19)</x:f>
        <x:v>250.8</x:v>
      </x:c>
      <x:c r="AC19" s="32" t="n">
        <x:f>IF(C19&gt;'Inputs'!$B$24,INDEX($I$2:$I$25,MAX(1,C19-'Inputs'!$B$24)),0)+IF(C19&gt;'Inputs'!$B$25,INDEX($J$2:$J$25,MAX(1,C19-'Inputs'!$B$25)),0)+M19+O19</x:f>
        <x:v>208.1</x:v>
      </x:c>
      <x:c r="AD19" s="34" t="n">
        <x:f>U19+SUM(X19:AA19)</x:f>
        <x:v>163.4</x:v>
      </x:c>
      <x:c r="AE19" s="34" t="n">
        <x:f>AC19-AD19</x:f>
        <x:v>44.69999999999999</x:v>
      </x:c>
      <x:c r="AF19" s="34" t="n">
        <x:f>SUM($AE$2:AE19)</x:f>
        <x:v>-2292.1275000000005</x:v>
      </x:c>
      <x:c r="AG19" s="32" t="n">
        <x:f>'Inputs'!$B$22*'Inputs'!$B$23</x:f>
        <x:v>4000</x:v>
      </x:c>
      <x:c r="AH19" s="34" t="n">
        <x:f>AB19-AG19</x:f>
        <x:v>-3749.2</x:v>
      </x:c>
    </x:row>
    <x:row r="20" ht="32" customHeight="1">
      <x:c r="A20" s="4" t="str">
        <x:v>Conservative</x:v>
      </x:c>
      <x:c r="B20" s="22" t="n">
        <x:v>46813</x:v>
      </x:c>
      <x:c r="C20" s="4" t="n">
        <x:v>19</x:v>
      </x:c>
      <x:c r="D20" s="24" t="n">
        <x:v>8000</x:v>
      </x:c>
      <x:c r="E20" s="30" t="n">
        <x:f>D20*'Inputs'!$B$2*'Inputs'!$B$3</x:f>
        <x:v>44000</x:v>
      </x:c>
      <x:c r="F20" s="30" t="n">
        <x:f>E20*'Inputs'!$B$4</x:f>
        <x:v>352000</x:v>
      </x:c>
      <x:c r="G20" s="30" t="n">
        <x:f>E20*'Inputs'!$B$5/'Inputs'!$B$26</x:f>
        <x:v>15.399999999999999</x:v>
      </x:c>
      <x:c r="H20" s="30" t="n">
        <x:f>IF(C20&gt;='Case Inputs'!$G$2,D20*'Case Inputs'!$B$2,0)</x:f>
        <x:v>80</x:v>
      </x:c>
      <x:c r="I20" s="32" t="n">
        <x:f>H20*'Case Inputs'!$C$2*'Case Inputs'!$D$2*'Case Inputs'!$E$2</x:f>
        <x:v>10.799999999999999</x:v>
      </x:c>
      <x:c r="J20" s="32" t="n">
        <x:f>IF(AND(C20&gt;='Case Inputs'!$F$2,D20&gt;='Inputs'!$B$16),E20*'Inputs'!$B$14*'Inputs'!$B$15/'Inputs'!$B$27,0)</x:f>
        <x:v>0</x:v>
      </x:c>
      <x:c r="K20" s="24" t="n">
        <x:v>1</x:v>
      </x:c>
      <x:c r="L20" s="32" t="n">
        <x:f>IF(C20&lt;='Inputs'!$B$33,'Case Inputs'!$J$2,'Case Inputs'!$K$2)</x:f>
        <x:v>100</x:v>
      </x:c>
      <x:c r="M20" s="34" t="n">
        <x:f>K20*L20</x:f>
        <x:v>100</x:v>
      </x:c>
      <x:c r="N20" s="25" t="n">
        <x:f>IF(C20&gt;='Case Inputs'!$H$2,D20*'Case Inputs'!$I$2,0)</x:f>
        <x:v>0</x:v>
      </x:c>
      <x:c r="O20" s="32" t="n">
        <x:f>N20*'Inputs'!$B$20</x:f>
        <x:v>0</x:v>
      </x:c>
      <x:c r="P20" s="34" t="n">
        <x:f>SUM(I20:J20)+M20+O20</x:f>
        <x:v>110.8</x:v>
      </x:c>
      <x:c r="Q20" s="32" t="n">
        <x:f>IF(F20&lt;='Inputs'!$B$7,0,IF(F20&lt;='Inputs'!$B$8,'Inputs'!$B$10,IF(F20&lt;='Inputs'!$B$9,'Inputs'!$B$11,'Inputs'!$B$12)))</x:f>
        <x:v>0</x:v>
      </x:c>
      <x:c r="R20" s="32" t="n">
        <x:f>'Inputs'!$B$6+Q20+D20*'Inputs'!$B$13</x:f>
        <x:v>28</x:v>
      </x:c>
      <x:c r="S20" s="32" t="n">
        <x:f>IF(C20&gt;='Inputs'!$B$32,'Case Inputs'!$L$2,0)</x:f>
        <x:v>0</x:v>
      </x:c>
      <x:c r="T20" s="32" t="n">
        <x:f>(M20+O20)*'Inputs'!$B$17+(K20*'Inputs'!$B$28+N20*'Inputs'!$B$29)*'Inputs'!$B$18+O20*'Inputs'!$B$19</x:f>
        <x:v>3.2</x:v>
      </x:c>
      <x:c r="U20" s="34" t="n">
        <x:f>SUM(R20:T20)</x:f>
        <x:v>31.2</x:v>
      </x:c>
      <x:c r="V20" s="34" t="n">
        <x:f>P20-U20</x:f>
        <x:v>79.6</x:v>
      </x:c>
      <x:c r="W20" s="28" t="n">
        <x:f>IF(P20=0,"",V20/P20)</x:f>
        <x:v>0.7184115523465704</x:v>
      </x:c>
      <x:c r="X20" s="32" t="n">
        <x:f>'Inputs'!$B$21</x:f>
        <x:v>100</x:v>
      </x:c>
      <x:c r="Y20" s="32" t="n">
        <x:f>IF(OR(MONTH(B20)&gt;=9,MONTH(B20)&lt;=4),'Case Inputs'!$N$2,'Case Inputs'!$O$2)</x:f>
        <x:v>25</x:v>
      </x:c>
      <x:c r="Z20" s="32" t="n">
        <x:f>IF(C20&gt;='Inputs'!$B$32,'Case Inputs'!$P$2,0)</x:f>
        <x:v>0</x:v>
      </x:c>
      <x:c r="AA20" s="32" t="n">
        <x:f>IF(C20=1,'Case Inputs'!$M$2*'Inputs'!$B$30,IF(C20=2,'Case Inputs'!$M$2*'Inputs'!$B$31,0))</x:f>
        <x:v>0</x:v>
      </x:c>
      <x:c r="AB20" s="34" t="n">
        <x:f>V20-SUM(X20:AA20)</x:f>
        <x:v>-45.400000000000006</x:v>
      </x:c>
      <x:c r="AC20" s="32" t="n">
        <x:f>IF(C20&gt;'Inputs'!$B$24,INDEX($I$2:$I$25,MAX(1,C20-'Inputs'!$B$24)),0)+IF(C20&gt;'Inputs'!$B$25,INDEX($J$2:$J$25,MAX(1,C20-'Inputs'!$B$25)),0)+M20+O20</x:f>
        <x:v>310.15</x:v>
      </x:c>
      <x:c r="AD20" s="34" t="n">
        <x:f>U20+SUM(X20:AA20)</x:f>
        <x:v>156.2</x:v>
      </x:c>
      <x:c r="AE20" s="34" t="n">
        <x:f>AC20-AD20</x:f>
        <x:v>153.95</x:v>
      </x:c>
      <x:c r="AF20" s="34" t="n">
        <x:f>SUM($AE$2:AE20)</x:f>
        <x:v>-2138.1775000000007</x:v>
      </x:c>
      <x:c r="AG20" s="32" t="n">
        <x:f>'Inputs'!$B$22*'Inputs'!$B$23</x:f>
        <x:v>4000</x:v>
      </x:c>
      <x:c r="AH20" s="34" t="n">
        <x:f>AB20-AG20</x:f>
        <x:v>-4045.4</x:v>
      </x:c>
    </x:row>
    <x:row r="21" ht="32" customHeight="1">
      <x:c r="A21" s="4" t="str">
        <x:v>Conservative</x:v>
      </x:c>
      <x:c r="B21" s="22" t="n">
        <x:v>46844</x:v>
      </x:c>
      <x:c r="C21" s="4" t="n">
        <x:v>20</x:v>
      </x:c>
      <x:c r="D21" s="24" t="n">
        <x:v>3500</x:v>
      </x:c>
      <x:c r="E21" s="30" t="n">
        <x:f>D21*'Inputs'!$B$2*'Inputs'!$B$3</x:f>
        <x:v>19250</x:v>
      </x:c>
      <x:c r="F21" s="30" t="n">
        <x:f>E21*'Inputs'!$B$4</x:f>
        <x:v>154000</x:v>
      </x:c>
      <x:c r="G21" s="30" t="n">
        <x:f>E21*'Inputs'!$B$5/'Inputs'!$B$26</x:f>
        <x:v>6.7375</x:v>
      </x:c>
      <x:c r="H21" s="30" t="n">
        <x:f>IF(C21&gt;='Case Inputs'!$G$2,D21*'Case Inputs'!$B$2,0)</x:f>
        <x:v>35</x:v>
      </x:c>
      <x:c r="I21" s="32" t="n">
        <x:f>H21*'Case Inputs'!$C$2*'Case Inputs'!$D$2*'Case Inputs'!$E$2</x:f>
        <x:v>4.7250000000000005</x:v>
      </x:c>
      <x:c r="J21" s="32" t="n">
        <x:f>IF(AND(C21&gt;='Case Inputs'!$F$2,D21&gt;='Inputs'!$B$16),E21*'Inputs'!$B$14*'Inputs'!$B$15/'Inputs'!$B$27,0)</x:f>
        <x:v>0</x:v>
      </x:c>
      <x:c r="K21" s="24" t="n">
        <x:v>0</x:v>
      </x:c>
      <x:c r="L21" s="32" t="n">
        <x:f>IF(C21&lt;='Inputs'!$B$33,'Case Inputs'!$J$2,'Case Inputs'!$K$2)</x:f>
        <x:v>100</x:v>
      </x:c>
      <x:c r="M21" s="34" t="n">
        <x:f>K21*L21</x:f>
        <x:v>0</x:v>
      </x:c>
      <x:c r="N21" s="25" t="n">
        <x:f>IF(C21&gt;='Case Inputs'!$H$2,D21*'Case Inputs'!$I$2,0)</x:f>
        <x:v>0</x:v>
      </x:c>
      <x:c r="O21" s="32" t="n">
        <x:f>N21*'Inputs'!$B$20</x:f>
        <x:v>0</x:v>
      </x:c>
      <x:c r="P21" s="34" t="n">
        <x:f>SUM(I21:J21)+M21+O21</x:f>
        <x:v>4.7250000000000005</x:v>
      </x:c>
      <x:c r="Q21" s="32" t="n">
        <x:f>IF(F21&lt;='Inputs'!$B$7,0,IF(F21&lt;='Inputs'!$B$8,'Inputs'!$B$10,IF(F21&lt;='Inputs'!$B$9,'Inputs'!$B$11,'Inputs'!$B$12)))</x:f>
        <x:v>0</x:v>
      </x:c>
      <x:c r="R21" s="32" t="n">
        <x:f>'Inputs'!$B$6+Q21+D21*'Inputs'!$B$13</x:f>
        <x:v>23.5</x:v>
      </x:c>
      <x:c r="S21" s="32" t="n">
        <x:f>IF(C21&gt;='Inputs'!$B$32,'Case Inputs'!$L$2,0)</x:f>
        <x:v>0</x:v>
      </x:c>
      <x:c r="T21" s="32" t="n">
        <x:f>(M21+O21)*'Inputs'!$B$17+(K21*'Inputs'!$B$28+N21*'Inputs'!$B$29)*'Inputs'!$B$18+O21*'Inputs'!$B$19</x:f>
        <x:v>0</x:v>
      </x:c>
      <x:c r="U21" s="34" t="n">
        <x:f>SUM(R21:T21)</x:f>
        <x:v>23.5</x:v>
      </x:c>
      <x:c r="V21" s="34" t="n">
        <x:f>P21-U21</x:f>
        <x:v>-18.775</x:v>
      </x:c>
      <x:c r="W21" s="28" t="n">
        <x:f>IF(P21=0,"",V21/P21)</x:f>
        <x:v>-3.9735449735449726</x:v>
      </x:c>
      <x:c r="X21" s="32" t="n">
        <x:f>'Inputs'!$B$21</x:f>
        <x:v>100</x:v>
      </x:c>
      <x:c r="Y21" s="32" t="n">
        <x:f>IF(OR(MONTH(B21)&gt;=9,MONTH(B21)&lt;=4),'Case Inputs'!$N$2,'Case Inputs'!$O$2)</x:f>
        <x:v>25</x:v>
      </x:c>
      <x:c r="Z21" s="32" t="n">
        <x:f>IF(C21&gt;='Inputs'!$B$32,'Case Inputs'!$P$2,0)</x:f>
        <x:v>0</x:v>
      </x:c>
      <x:c r="AA21" s="32" t="n">
        <x:f>IF(C21=1,'Case Inputs'!$M$2*'Inputs'!$B$30,IF(C21=2,'Case Inputs'!$M$2*'Inputs'!$B$31,0))</x:f>
        <x:v>0</x:v>
      </x:c>
      <x:c r="AB21" s="34" t="n">
        <x:f>V21-SUM(X21:AA21)</x:f>
        <x:v>-143.775</x:v>
      </x:c>
      <x:c r="AC21" s="32" t="n">
        <x:f>IF(C21&gt;'Inputs'!$B$24,INDEX($I$2:$I$25,MAX(1,C21-'Inputs'!$B$24)),0)+IF(C21&gt;'Inputs'!$B$25,INDEX($J$2:$J$25,MAX(1,C21-'Inputs'!$B$25)),0)+M21+O21</x:f>
        <x:v>16.2</x:v>
      </x:c>
      <x:c r="AD21" s="34" t="n">
        <x:f>U21+SUM(X21:AA21)</x:f>
        <x:v>148.5</x:v>
      </x:c>
      <x:c r="AE21" s="34" t="n">
        <x:f>AC21-AD21</x:f>
        <x:v>-132.3</x:v>
      </x:c>
      <x:c r="AF21" s="34" t="n">
        <x:f>SUM($AE$2:AE21)</x:f>
        <x:v>-2270.477500000001</x:v>
      </x:c>
      <x:c r="AG21" s="32" t="n">
        <x:f>'Inputs'!$B$22*'Inputs'!$B$23</x:f>
        <x:v>4000</x:v>
      </x:c>
      <x:c r="AH21" s="34" t="n">
        <x:f>AB21-AG21</x:f>
        <x:v>-4143.775</x:v>
      </x:c>
    </x:row>
    <x:row r="22" ht="32" customHeight="1">
      <x:c r="A22" s="4" t="str">
        <x:v>Conservative</x:v>
      </x:c>
      <x:c r="B22" s="22" t="n">
        <x:v>46874</x:v>
      </x:c>
      <x:c r="C22" s="4" t="n">
        <x:v>21</x:v>
      </x:c>
      <x:c r="D22" s="24" t="n">
        <x:v>1200</x:v>
      </x:c>
      <x:c r="E22" s="30" t="n">
        <x:f>D22*'Inputs'!$B$2*'Inputs'!$B$3</x:f>
        <x:v>6600.000000000001</x:v>
      </x:c>
      <x:c r="F22" s="30" t="n">
        <x:f>E22*'Inputs'!$B$4</x:f>
        <x:v>52800.00000000001</x:v>
      </x:c>
      <x:c r="G22" s="30" t="n">
        <x:f>E22*'Inputs'!$B$5/'Inputs'!$B$26</x:f>
        <x:v>2.31</x:v>
      </x:c>
      <x:c r="H22" s="30" t="n">
        <x:f>IF(C22&gt;='Case Inputs'!$G$2,D22*'Case Inputs'!$B$2,0)</x:f>
        <x:v>12</x:v>
      </x:c>
      <x:c r="I22" s="32" t="n">
        <x:f>H22*'Case Inputs'!$C$2*'Case Inputs'!$D$2*'Case Inputs'!$E$2</x:f>
        <x:v>1.62</x:v>
      </x:c>
      <x:c r="J22" s="32" t="n">
        <x:f>IF(AND(C22&gt;='Case Inputs'!$F$2,D22&gt;='Inputs'!$B$16),E22*'Inputs'!$B$14*'Inputs'!$B$15/'Inputs'!$B$27,0)</x:f>
        <x:v>0</x:v>
      </x:c>
      <x:c r="K22" s="24" t="n">
        <x:v>0</x:v>
      </x:c>
      <x:c r="L22" s="32" t="n">
        <x:f>IF(C22&lt;='Inputs'!$B$33,'Case Inputs'!$J$2,'Case Inputs'!$K$2)</x:f>
        <x:v>100</x:v>
      </x:c>
      <x:c r="M22" s="34" t="n">
        <x:f>K22*L22</x:f>
        <x:v>0</x:v>
      </x:c>
      <x:c r="N22" s="25" t="n">
        <x:f>IF(C22&gt;='Case Inputs'!$H$2,D22*'Case Inputs'!$I$2,0)</x:f>
        <x:v>0</x:v>
      </x:c>
      <x:c r="O22" s="32" t="n">
        <x:f>N22*'Inputs'!$B$20</x:f>
        <x:v>0</x:v>
      </x:c>
      <x:c r="P22" s="34" t="n">
        <x:f>SUM(I22:J22)+M22+O22</x:f>
        <x:v>1.62</x:v>
      </x:c>
      <x:c r="Q22" s="32" t="n">
        <x:f>IF(F22&lt;='Inputs'!$B$7,0,IF(F22&lt;='Inputs'!$B$8,'Inputs'!$B$10,IF(F22&lt;='Inputs'!$B$9,'Inputs'!$B$11,'Inputs'!$B$12)))</x:f>
        <x:v>0</x:v>
      </x:c>
      <x:c r="R22" s="32" t="n">
        <x:f>'Inputs'!$B$6+Q22+D22*'Inputs'!$B$13</x:f>
        <x:v>21.2</x:v>
      </x:c>
      <x:c r="S22" s="32" t="n">
        <x:f>IF(C22&gt;='Inputs'!$B$32,'Case Inputs'!$L$2,0)</x:f>
        <x:v>0</x:v>
      </x:c>
      <x:c r="T22" s="32" t="n">
        <x:f>(M22+O22)*'Inputs'!$B$17+(K22*'Inputs'!$B$28+N22*'Inputs'!$B$29)*'Inputs'!$B$18+O22*'Inputs'!$B$19</x:f>
        <x:v>0</x:v>
      </x:c>
      <x:c r="U22" s="34" t="n">
        <x:f>SUM(R22:T22)</x:f>
        <x:v>21.2</x:v>
      </x:c>
      <x:c r="V22" s="34" t="n">
        <x:f>P22-U22</x:f>
        <x:v>-19.58</x:v>
      </x:c>
      <x:c r="W22" s="28" t="n">
        <x:f>IF(P22=0,"",V22/P22)</x:f>
        <x:v>-12.086419753086417</x:v>
      </x:c>
      <x:c r="X22" s="32" t="n">
        <x:f>'Inputs'!$B$21</x:f>
        <x:v>100</x:v>
      </x:c>
      <x:c r="Y22" s="32" t="n">
        <x:f>IF(OR(MONTH(B22)&gt;=9,MONTH(B22)&lt;=4),'Case Inputs'!$N$2,'Case Inputs'!$O$2)</x:f>
        <x:v>0</x:v>
      </x:c>
      <x:c r="Z22" s="32" t="n">
        <x:f>IF(C22&gt;='Inputs'!$B$32,'Case Inputs'!$P$2,0)</x:f>
        <x:v>0</x:v>
      </x:c>
      <x:c r="AA22" s="32" t="n">
        <x:f>IF(C22=1,'Case Inputs'!$M$2*'Inputs'!$B$30,IF(C22=2,'Case Inputs'!$M$2*'Inputs'!$B$31,0))</x:f>
        <x:v>0</x:v>
      </x:c>
      <x:c r="AB22" s="34" t="n">
        <x:f>V22-SUM(X22:AA22)</x:f>
        <x:v>-119.58</x:v>
      </x:c>
      <x:c r="AC22" s="32" t="n">
        <x:f>IF(C22&gt;'Inputs'!$B$24,INDEX($I$2:$I$25,MAX(1,C22-'Inputs'!$B$24)),0)+IF(C22&gt;'Inputs'!$B$25,INDEX($J$2:$J$25,MAX(1,C22-'Inputs'!$B$25)),0)+M22+O22</x:f>
        <x:v>10.799999999999999</x:v>
      </x:c>
      <x:c r="AD22" s="34" t="n">
        <x:f>U22+SUM(X22:AA22)</x:f>
        <x:v>121.2</x:v>
      </x:c>
      <x:c r="AE22" s="34" t="n">
        <x:f>AC22-AD22</x:f>
        <x:v>-110.4</x:v>
      </x:c>
      <x:c r="AF22" s="34" t="n">
        <x:f>SUM($AE$2:AE22)</x:f>
        <x:v>-2380.877500000001</x:v>
      </x:c>
      <x:c r="AG22" s="32" t="n">
        <x:f>'Inputs'!$B$22*'Inputs'!$B$23</x:f>
        <x:v>4000</x:v>
      </x:c>
      <x:c r="AH22" s="34" t="n">
        <x:f>AB22-AG22</x:f>
        <x:v>-4119.58</x:v>
      </x:c>
    </x:row>
    <x:row r="23" ht="32" customHeight="1">
      <x:c r="A23" s="4" t="str">
        <x:v>Conservative</x:v>
      </x:c>
      <x:c r="B23" s="22" t="n">
        <x:v>46905</x:v>
      </x:c>
      <x:c r="C23" s="4" t="n">
        <x:v>22</x:v>
      </x:c>
      <x:c r="D23" s="24" t="n">
        <x:v>700</x:v>
      </x:c>
      <x:c r="E23" s="30" t="n">
        <x:f>D23*'Inputs'!$B$2*'Inputs'!$B$3</x:f>
        <x:v>3850.0000000000005</x:v>
      </x:c>
      <x:c r="F23" s="30" t="n">
        <x:f>E23*'Inputs'!$B$4</x:f>
        <x:v>30800.000000000004</x:v>
      </x:c>
      <x:c r="G23" s="30" t="n">
        <x:f>E23*'Inputs'!$B$5/'Inputs'!$B$26</x:f>
        <x:v>1.3475</x:v>
      </x:c>
      <x:c r="H23" s="30" t="n">
        <x:f>IF(C23&gt;='Case Inputs'!$G$2,D23*'Case Inputs'!$B$2,0)</x:f>
        <x:v>7</x:v>
      </x:c>
      <x:c r="I23" s="32" t="n">
        <x:f>H23*'Case Inputs'!$C$2*'Case Inputs'!$D$2*'Case Inputs'!$E$2</x:f>
        <x:v>0.9450000000000001</x:v>
      </x:c>
      <x:c r="J23" s="32" t="n">
        <x:f>IF(AND(C23&gt;='Case Inputs'!$F$2,D23&gt;='Inputs'!$B$16),E23*'Inputs'!$B$14*'Inputs'!$B$15/'Inputs'!$B$27,0)</x:f>
        <x:v>0</x:v>
      </x:c>
      <x:c r="K23" s="24" t="n">
        <x:v>0</x:v>
      </x:c>
      <x:c r="L23" s="32" t="n">
        <x:f>IF(C23&lt;='Inputs'!$B$33,'Case Inputs'!$J$2,'Case Inputs'!$K$2)</x:f>
        <x:v>100</x:v>
      </x:c>
      <x:c r="M23" s="34" t="n">
        <x:f>K23*L23</x:f>
        <x:v>0</x:v>
      </x:c>
      <x:c r="N23" s="25" t="n">
        <x:f>IF(C23&gt;='Case Inputs'!$H$2,D23*'Case Inputs'!$I$2,0)</x:f>
        <x:v>0</x:v>
      </x:c>
      <x:c r="O23" s="32" t="n">
        <x:f>N23*'Inputs'!$B$20</x:f>
        <x:v>0</x:v>
      </x:c>
      <x:c r="P23" s="34" t="n">
        <x:f>SUM(I23:J23)+M23+O23</x:f>
        <x:v>0.9450000000000001</x:v>
      </x:c>
      <x:c r="Q23" s="32" t="n">
        <x:f>IF(F23&lt;='Inputs'!$B$7,0,IF(F23&lt;='Inputs'!$B$8,'Inputs'!$B$10,IF(F23&lt;='Inputs'!$B$9,'Inputs'!$B$11,'Inputs'!$B$12)))</x:f>
        <x:v>0</x:v>
      </x:c>
      <x:c r="R23" s="32" t="n">
        <x:f>'Inputs'!$B$6+Q23+D23*'Inputs'!$B$13</x:f>
        <x:v>20.7</x:v>
      </x:c>
      <x:c r="S23" s="32" t="n">
        <x:f>IF(C23&gt;='Inputs'!$B$32,'Case Inputs'!$L$2,0)</x:f>
        <x:v>0</x:v>
      </x:c>
      <x:c r="T23" s="32" t="n">
        <x:f>(M23+O23)*'Inputs'!$B$17+(K23*'Inputs'!$B$28+N23*'Inputs'!$B$29)*'Inputs'!$B$18+O23*'Inputs'!$B$19</x:f>
        <x:v>0</x:v>
      </x:c>
      <x:c r="U23" s="34" t="n">
        <x:f>SUM(R23:T23)</x:f>
        <x:v>20.7</x:v>
      </x:c>
      <x:c r="V23" s="34" t="n">
        <x:f>P23-U23</x:f>
        <x:v>-19.755</x:v>
      </x:c>
      <x:c r="W23" s="28" t="n">
        <x:f>IF(P23=0,"",V23/P23)</x:f>
        <x:v>-20.9047619047619</x:v>
      </x:c>
      <x:c r="X23" s="32" t="n">
        <x:f>'Inputs'!$B$21</x:f>
        <x:v>100</x:v>
      </x:c>
      <x:c r="Y23" s="32" t="n">
        <x:f>IF(OR(MONTH(B23)&gt;=9,MONTH(B23)&lt;=4),'Case Inputs'!$N$2,'Case Inputs'!$O$2)</x:f>
        <x:v>0</x:v>
      </x:c>
      <x:c r="Z23" s="32" t="n">
        <x:f>IF(C23&gt;='Inputs'!$B$32,'Case Inputs'!$P$2,0)</x:f>
        <x:v>0</x:v>
      </x:c>
      <x:c r="AA23" s="32" t="n">
        <x:f>IF(C23=1,'Case Inputs'!$M$2*'Inputs'!$B$30,IF(C23=2,'Case Inputs'!$M$2*'Inputs'!$B$31,0))</x:f>
        <x:v>0</x:v>
      </x:c>
      <x:c r="AB23" s="34" t="n">
        <x:f>V23-SUM(X23:AA23)</x:f>
        <x:v>-119.755</x:v>
      </x:c>
      <x:c r="AC23" s="32" t="n">
        <x:f>IF(C23&gt;'Inputs'!$B$24,INDEX($I$2:$I$25,MAX(1,C23-'Inputs'!$B$24)),0)+IF(C23&gt;'Inputs'!$B$25,INDEX($J$2:$J$25,MAX(1,C23-'Inputs'!$B$25)),0)+M23+O23</x:f>
        <x:v>4.7250000000000005</x:v>
      </x:c>
      <x:c r="AD23" s="34" t="n">
        <x:f>U23+SUM(X23:AA23)</x:f>
        <x:v>120.7</x:v>
      </x:c>
      <x:c r="AE23" s="34" t="n">
        <x:f>AC23-AD23</x:f>
        <x:v>-115.97500000000001</x:v>
      </x:c>
      <x:c r="AF23" s="34" t="n">
        <x:f>SUM($AE$2:AE23)</x:f>
        <x:v>-2496.852500000001</x:v>
      </x:c>
      <x:c r="AG23" s="32" t="n">
        <x:f>'Inputs'!$B$22*'Inputs'!$B$23</x:f>
        <x:v>4000</x:v>
      </x:c>
      <x:c r="AH23" s="34" t="n">
        <x:f>AB23-AG23</x:f>
        <x:v>-4119.755</x:v>
      </x:c>
    </x:row>
    <x:row r="24" ht="32" customHeight="1">
      <x:c r="A24" s="4" t="str">
        <x:v>Conservative</x:v>
      </x:c>
      <x:c r="B24" s="22" t="n">
        <x:v>46935</x:v>
      </x:c>
      <x:c r="C24" s="4" t="n">
        <x:v>23</x:v>
      </x:c>
      <x:c r="D24" s="24" t="n">
        <x:v>500</x:v>
      </x:c>
      <x:c r="E24" s="30" t="n">
        <x:f>D24*'Inputs'!$B$2*'Inputs'!$B$3</x:f>
        <x:v>2750</x:v>
      </x:c>
      <x:c r="F24" s="30" t="n">
        <x:f>E24*'Inputs'!$B$4</x:f>
        <x:v>22000</x:v>
      </x:c>
      <x:c r="G24" s="30" t="n">
        <x:f>E24*'Inputs'!$B$5/'Inputs'!$B$26</x:f>
        <x:v>0.9624999999999999</x:v>
      </x:c>
      <x:c r="H24" s="30" t="n">
        <x:f>IF(C24&gt;='Case Inputs'!$G$2,D24*'Case Inputs'!$B$2,0)</x:f>
        <x:v>5</x:v>
      </x:c>
      <x:c r="I24" s="32" t="n">
        <x:f>H24*'Case Inputs'!$C$2*'Case Inputs'!$D$2*'Case Inputs'!$E$2</x:f>
        <x:v>0.6749999999999999</x:v>
      </x:c>
      <x:c r="J24" s="32" t="n">
        <x:f>IF(AND(C24&gt;='Case Inputs'!$F$2,D24&gt;='Inputs'!$B$16),E24*'Inputs'!$B$14*'Inputs'!$B$15/'Inputs'!$B$27,0)</x:f>
        <x:v>0</x:v>
      </x:c>
      <x:c r="K24" s="24" t="n">
        <x:v>0</x:v>
      </x:c>
      <x:c r="L24" s="32" t="n">
        <x:f>IF(C24&lt;='Inputs'!$B$33,'Case Inputs'!$J$2,'Case Inputs'!$K$2)</x:f>
        <x:v>100</x:v>
      </x:c>
      <x:c r="M24" s="34" t="n">
        <x:f>K24*L24</x:f>
        <x:v>0</x:v>
      </x:c>
      <x:c r="N24" s="25" t="n">
        <x:f>IF(C24&gt;='Case Inputs'!$H$2,D24*'Case Inputs'!$I$2,0)</x:f>
        <x:v>0</x:v>
      </x:c>
      <x:c r="O24" s="32" t="n">
        <x:f>N24*'Inputs'!$B$20</x:f>
        <x:v>0</x:v>
      </x:c>
      <x:c r="P24" s="34" t="n">
        <x:f>SUM(I24:J24)+M24+O24</x:f>
        <x:v>0.6749999999999999</x:v>
      </x:c>
      <x:c r="Q24" s="32" t="n">
        <x:f>IF(F24&lt;='Inputs'!$B$7,0,IF(F24&lt;='Inputs'!$B$8,'Inputs'!$B$10,IF(F24&lt;='Inputs'!$B$9,'Inputs'!$B$11,'Inputs'!$B$12)))</x:f>
        <x:v>0</x:v>
      </x:c>
      <x:c r="R24" s="32" t="n">
        <x:f>'Inputs'!$B$6+Q24+D24*'Inputs'!$B$13</x:f>
        <x:v>20.5</x:v>
      </x:c>
      <x:c r="S24" s="32" t="n">
        <x:f>IF(C24&gt;='Inputs'!$B$32,'Case Inputs'!$L$2,0)</x:f>
        <x:v>0</x:v>
      </x:c>
      <x:c r="T24" s="32" t="n">
        <x:f>(M24+O24)*'Inputs'!$B$17+(K24*'Inputs'!$B$28+N24*'Inputs'!$B$29)*'Inputs'!$B$18+O24*'Inputs'!$B$19</x:f>
        <x:v>0</x:v>
      </x:c>
      <x:c r="U24" s="34" t="n">
        <x:f>SUM(R24:T24)</x:f>
        <x:v>20.5</x:v>
      </x:c>
      <x:c r="V24" s="34" t="n">
        <x:f>P24-U24</x:f>
        <x:v>-19.825</x:v>
      </x:c>
      <x:c r="W24" s="28" t="n">
        <x:f>IF(P24=0,"",V24/P24)</x:f>
        <x:v>-29.370370370370374</x:v>
      </x:c>
      <x:c r="X24" s="32" t="n">
        <x:f>'Inputs'!$B$21</x:f>
        <x:v>100</x:v>
      </x:c>
      <x:c r="Y24" s="32" t="n">
        <x:f>IF(OR(MONTH(B24)&gt;=9,MONTH(B24)&lt;=4),'Case Inputs'!$N$2,'Case Inputs'!$O$2)</x:f>
        <x:v>0</x:v>
      </x:c>
      <x:c r="Z24" s="32" t="n">
        <x:f>IF(C24&gt;='Inputs'!$B$32,'Case Inputs'!$P$2,0)</x:f>
        <x:v>0</x:v>
      </x:c>
      <x:c r="AA24" s="32" t="n">
        <x:f>IF(C24=1,'Case Inputs'!$M$2*'Inputs'!$B$30,IF(C24=2,'Case Inputs'!$M$2*'Inputs'!$B$31,0))</x:f>
        <x:v>0</x:v>
      </x:c>
      <x:c r="AB24" s="34" t="n">
        <x:f>V24-SUM(X24:AA24)</x:f>
        <x:v>-119.825</x:v>
      </x:c>
      <x:c r="AC24" s="32" t="n">
        <x:f>IF(C24&gt;'Inputs'!$B$24,INDEX($I$2:$I$25,MAX(1,C24-'Inputs'!$B$24)),0)+IF(C24&gt;'Inputs'!$B$25,INDEX($J$2:$J$25,MAX(1,C24-'Inputs'!$B$25)),0)+M24+O24</x:f>
        <x:v>1.62</x:v>
      </x:c>
      <x:c r="AD24" s="34" t="n">
        <x:f>U24+SUM(X24:AA24)</x:f>
        <x:v>120.5</x:v>
      </x:c>
      <x:c r="AE24" s="34" t="n">
        <x:f>AC24-AD24</x:f>
        <x:v>-118.88</x:v>
      </x:c>
      <x:c r="AF24" s="34" t="n">
        <x:f>SUM($AE$2:AE24)</x:f>
        <x:v>-2615.732500000001</x:v>
      </x:c>
      <x:c r="AG24" s="32" t="n">
        <x:f>'Inputs'!$B$22*'Inputs'!$B$23</x:f>
        <x:v>4000</x:v>
      </x:c>
      <x:c r="AH24" s="34" t="n">
        <x:f>AB24-AG24</x:f>
        <x:v>-4119.825</x:v>
      </x:c>
    </x:row>
    <x:row r="25" ht="32" customHeight="1">
      <x:c r="A25" s="4" t="str">
        <x:v>Conservative</x:v>
      </x:c>
      <x:c r="B25" s="22" t="n">
        <x:v>46966</x:v>
      </x:c>
      <x:c r="C25" s="4" t="n">
        <x:v>24</x:v>
      </x:c>
      <x:c r="D25" s="24" t="n">
        <x:v>800</x:v>
      </x:c>
      <x:c r="E25" s="30" t="n">
        <x:f>D25*'Inputs'!$B$2*'Inputs'!$B$3</x:f>
        <x:v>4400</x:v>
      </x:c>
      <x:c r="F25" s="30" t="n">
        <x:f>E25*'Inputs'!$B$4</x:f>
        <x:v>35200</x:v>
      </x:c>
      <x:c r="G25" s="30" t="n">
        <x:f>E25*'Inputs'!$B$5/'Inputs'!$B$26</x:f>
        <x:v>1.54</x:v>
      </x:c>
      <x:c r="H25" s="30" t="n">
        <x:f>IF(C25&gt;='Case Inputs'!$G$2,D25*'Case Inputs'!$B$2,0)</x:f>
        <x:v>8</x:v>
      </x:c>
      <x:c r="I25" s="32" t="n">
        <x:f>H25*'Case Inputs'!$C$2*'Case Inputs'!$D$2*'Case Inputs'!$E$2</x:f>
        <x:v>1.08</x:v>
      </x:c>
      <x:c r="J25" s="32" t="n">
        <x:f>IF(AND(C25&gt;='Case Inputs'!$F$2,D25&gt;='Inputs'!$B$16),E25*'Inputs'!$B$14*'Inputs'!$B$15/'Inputs'!$B$27,0)</x:f>
        <x:v>0</x:v>
      </x:c>
      <x:c r="K25" s="24" t="n">
        <x:v>0</x:v>
      </x:c>
      <x:c r="L25" s="32" t="n">
        <x:f>IF(C25&lt;='Inputs'!$B$33,'Case Inputs'!$J$2,'Case Inputs'!$K$2)</x:f>
        <x:v>100</x:v>
      </x:c>
      <x:c r="M25" s="34" t="n">
        <x:f>K25*L25</x:f>
        <x:v>0</x:v>
      </x:c>
      <x:c r="N25" s="25" t="n">
        <x:f>IF(C25&gt;='Case Inputs'!$H$2,D25*'Case Inputs'!$I$2,0)</x:f>
        <x:v>0</x:v>
      </x:c>
      <x:c r="O25" s="32" t="n">
        <x:f>N25*'Inputs'!$B$20</x:f>
        <x:v>0</x:v>
      </x:c>
      <x:c r="P25" s="34" t="n">
        <x:f>SUM(I25:J25)+M25+O25</x:f>
        <x:v>1.08</x:v>
      </x:c>
      <x:c r="Q25" s="32" t="n">
        <x:f>IF(F25&lt;='Inputs'!$B$7,0,IF(F25&lt;='Inputs'!$B$8,'Inputs'!$B$10,IF(F25&lt;='Inputs'!$B$9,'Inputs'!$B$11,'Inputs'!$B$12)))</x:f>
        <x:v>0</x:v>
      </x:c>
      <x:c r="R25" s="32" t="n">
        <x:f>'Inputs'!$B$6+Q25+D25*'Inputs'!$B$13</x:f>
        <x:v>20.8</x:v>
      </x:c>
      <x:c r="S25" s="32" t="n">
        <x:f>IF(C25&gt;='Inputs'!$B$32,'Case Inputs'!$L$2,0)</x:f>
        <x:v>0</x:v>
      </x:c>
      <x:c r="T25" s="32" t="n">
        <x:f>(M25+O25)*'Inputs'!$B$17+(K25*'Inputs'!$B$28+N25*'Inputs'!$B$29)*'Inputs'!$B$18+O25*'Inputs'!$B$19</x:f>
        <x:v>0</x:v>
      </x:c>
      <x:c r="U25" s="34" t="n">
        <x:f>SUM(R25:T25)</x:f>
        <x:v>20.8</x:v>
      </x:c>
      <x:c r="V25" s="34" t="n">
        <x:f>P25-U25</x:f>
        <x:v>-19.72</x:v>
      </x:c>
      <x:c r="W25" s="28" t="n">
        <x:f>IF(P25=0,"",V25/P25)</x:f>
        <x:v>-18.259259259259256</x:v>
      </x:c>
      <x:c r="X25" s="32" t="n">
        <x:f>'Inputs'!$B$21</x:f>
        <x:v>100</x:v>
      </x:c>
      <x:c r="Y25" s="32" t="n">
        <x:f>IF(OR(MONTH(B25)&gt;=9,MONTH(B25)&lt;=4),'Case Inputs'!$N$2,'Case Inputs'!$O$2)</x:f>
        <x:v>0</x:v>
      </x:c>
      <x:c r="Z25" s="32" t="n">
        <x:f>IF(C25&gt;='Inputs'!$B$32,'Case Inputs'!$P$2,0)</x:f>
        <x:v>0</x:v>
      </x:c>
      <x:c r="AA25" s="32" t="n">
        <x:f>IF(C25=1,'Case Inputs'!$M$2*'Inputs'!$B$30,IF(C25=2,'Case Inputs'!$M$2*'Inputs'!$B$31,0))</x:f>
        <x:v>0</x:v>
      </x:c>
      <x:c r="AB25" s="34" t="n">
        <x:f>V25-SUM(X25:AA25)</x:f>
        <x:v>-119.72</x:v>
      </x:c>
      <x:c r="AC25" s="32" t="n">
        <x:f>IF(C25&gt;'Inputs'!$B$24,INDEX($I$2:$I$25,MAX(1,C25-'Inputs'!$B$24)),0)+IF(C25&gt;'Inputs'!$B$25,INDEX($J$2:$J$25,MAX(1,C25-'Inputs'!$B$25)),0)+M25+O25</x:f>
        <x:v>0.9450000000000001</x:v>
      </x:c>
      <x:c r="AD25" s="34" t="n">
        <x:f>U25+SUM(X25:AA25)</x:f>
        <x:v>120.8</x:v>
      </x:c>
      <x:c r="AE25" s="34" t="n">
        <x:f>AC25-AD25</x:f>
        <x:v>-119.855</x:v>
      </x:c>
      <x:c r="AF25" s="34" t="n">
        <x:f>SUM($AE$2:AE25)</x:f>
        <x:v>-2735.587500000001</x:v>
      </x:c>
      <x:c r="AG25" s="32" t="n">
        <x:f>'Inputs'!$B$22*'Inputs'!$B$23</x:f>
        <x:v>4000</x:v>
      </x:c>
      <x:c r="AH25" s="34" t="n">
        <x:f>AB25-AG25</x:f>
        <x:v>-4119.72</x:v>
      </x:c>
    </x:row>
  </x:sheetData>
  <x:conditionalFormatting sqref="AF2:AF25">
    <x:cfRule type="cellIs" dxfId="0" priority="1" operator="lessThan">
      <x:formula>0</x:formula>
    </x:cfRule>
  </x:conditionalFormatting>
  <x:pageMargins left="0.7" right="0.7" top="0.75" bottom="0.75" header="0.3" footer="0.3"/>
  <x:legacyDrawing xmlns:r="http://schemas.openxmlformats.org/officeDocument/2006/relationships" r:id="Ra8f14613daf04510"/>
  <x:tableParts count="1">
    <x:tablePart xmlns:r="http://schemas.openxmlformats.org/officeDocument/2006/relationships" r:id="Rce3170e5da5a4b0b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  <x:col min="23" max="23" width="17" hidden="0" customWidth="1"/>
    <x:col min="24" max="24" width="17" hidden="0" customWidth="1"/>
    <x:col min="25" max="25" width="17" hidden="0" customWidth="1"/>
    <x:col min="26" max="26" width="17" hidden="0" customWidth="1"/>
    <x:col min="27" max="27" width="17" hidden="0" customWidth="1"/>
    <x:col min="28" max="28" width="17" hidden="0" customWidth="1"/>
    <x:col min="29" max="29" width="17" hidden="0" customWidth="1"/>
    <x:col min="30" max="30" width="17" hidden="0" customWidth="1"/>
    <x:col min="31" max="31" width="17" hidden="0" customWidth="1"/>
    <x:col min="32" max="32" width="17" hidden="0" customWidth="1"/>
    <x:col min="33" max="33" width="17" hidden="0" customWidth="1"/>
    <x:col min="34" max="34" width="17" hidden="0" customWidth="1"/>
  </x:cols>
  <x:sheetData>
    <x:row r="1" ht="42" customHeight="1">
      <x:c r="A1" s="9" t="str">
        <x:v>Case</x:v>
      </x:c>
      <x:c r="B1" s="9" t="str">
        <x:v>Month</x:v>
      </x:c>
      <x:c r="C1" s="9" t="str">
        <x:v>Index</x:v>
      </x:c>
      <x:c r="D1" s="9" t="str">
        <x:v>MAU</x:v>
      </x:c>
      <x:c r="E1" s="9" t="str">
        <x:v>Pageviews</x:v>
      </x:c>
      <x:c r="F1" s="9" t="str">
        <x:v>CDN requests</x:v>
      </x:c>
      <x:c r="G1" s="9" t="str">
        <x:v>Own-origin GB</x:v>
      </x:c>
      <x:c r="H1" s="9" t="str">
        <x:v>Affiliate clicks</x:v>
      </x:c>
      <x:c r="I1" s="9" t="str">
        <x:v>Affiliate revenue</x:v>
      </x:c>
      <x:c r="J1" s="9" t="str">
        <x:v>Ad revenue</x:v>
      </x:c>
      <x:c r="K1" s="9" t="str">
        <x:v>Sponsor count</x:v>
      </x:c>
      <x:c r="L1" s="9" t="str">
        <x:v>Sponsor unit price</x:v>
      </x:c>
      <x:c r="M1" s="9" t="str">
        <x:v>Sponsor revenue</x:v>
      </x:c>
      <x:c r="N1" s="9" t="str">
        <x:v>Active paid target</x:v>
      </x:c>
      <x:c r="O1" s="9" t="str">
        <x:v>Premium revenue</x:v>
      </x:c>
      <x:c r="P1" s="9" t="str">
        <x:v>Revenue</x:v>
      </x:c>
      <x:c r="Q1" s="9" t="str">
        <x:v>CDN upgrade</x:v>
      </x:c>
      <x:c r="R1" s="9" t="str">
        <x:v>Tech cost</x:v>
      </x:c>
      <x:c r="S1" s="9" t="str">
        <x:v>Rights budget</x:v>
      </x:c>
      <x:c r="T1" s="9" t="str">
        <x:v>Payment fees</x:v>
      </x:c>
      <x:c r="U1" s="9" t="str">
        <x:v>Direct cost</x:v>
      </x:c>
      <x:c r="V1" s="9" t="str">
        <x:v>Gross profit</x:v>
      </x:c>
      <x:c r="W1" s="9" t="str">
        <x:v>Gross margin</x:v>
      </x:c>
      <x:c r="X1" s="9" t="str">
        <x:v>Admin</x:v>
      </x:c>
      <x:c r="Y1" s="9" t="str">
        <x:v>Marketing</x:v>
      </x:c>
      <x:c r="Z1" s="9" t="str">
        <x:v>Contractors</x:v>
      </x:c>
      <x:c r="AA1" s="9" t="str">
        <x:v>Setup</x:v>
      </x:c>
      <x:c r="AB1" s="9" t="str">
        <x:v>Operating result</x:v>
      </x:c>
      <x:c r="AC1" s="9" t="str">
        <x:v>Cash receipts</x:v>
      </x:c>
      <x:c r="AD1" s="9" t="str">
        <x:v>Cash outflow</x:v>
      </x:c>
      <x:c r="AE1" s="9" t="str">
        <x:v>Net cash</x:v>
      </x:c>
      <x:c r="AF1" s="9" t="str">
        <x:v>Cumulative cash</x:v>
      </x:c>
      <x:c r="AG1" s="9" t="str">
        <x:v>Founder opportunity cost</x:v>
      </x:c>
      <x:c r="AH1" s="9" t="str">
        <x:v>After founder time</x:v>
      </x:c>
    </x:row>
    <x:row r="2" ht="32" customHeight="1">
      <x:c r="A2" s="4" t="str">
        <x:v>Base</x:v>
      </x:c>
      <x:c r="B2" s="22" t="n">
        <x:v>46266</x:v>
      </x:c>
      <x:c r="C2" s="4" t="n">
        <x:v>1</x:v>
      </x:c>
      <x:c r="D2" s="24" t="n">
        <x:v>500</x:v>
      </x:c>
      <x:c r="E2" s="30" t="n">
        <x:f>D2*'Inputs'!$B$2*'Inputs'!$B$3</x:f>
        <x:v>2750</x:v>
      </x:c>
      <x:c r="F2" s="30" t="n">
        <x:f>E2*'Inputs'!$B$4</x:f>
        <x:v>22000</x:v>
      </x:c>
      <x:c r="G2" s="30" t="n">
        <x:f>E2*'Inputs'!$B$5/'Inputs'!$B$26</x:f>
        <x:v>0.9624999999999999</x:v>
      </x:c>
      <x:c r="H2" s="30" t="n">
        <x:f>IF(C2&gt;='Case Inputs'!$G$3,D2*'Case Inputs'!$B$3,0)</x:f>
        <x:v>0</x:v>
      </x:c>
      <x:c r="I2" s="32" t="n">
        <x:f>H2*'Case Inputs'!$C$3*'Case Inputs'!$D$3*'Case Inputs'!$E$3</x:f>
        <x:v>0</x:v>
      </x:c>
      <x:c r="J2" s="32" t="n">
        <x:f>IF(AND(C2&gt;='Case Inputs'!$F$3,D2&gt;='Inputs'!$B$16),E2*'Inputs'!$B$14*'Inputs'!$B$15/'Inputs'!$B$27,0)</x:f>
        <x:v>0</x:v>
      </x:c>
      <x:c r="K2" s="24" t="n">
        <x:v>0</x:v>
      </x:c>
      <x:c r="L2" s="32" t="n">
        <x:f>IF(C2&lt;='Inputs'!$B$33,'Case Inputs'!$J$3,'Case Inputs'!$K$3)</x:f>
        <x:v>150</x:v>
      </x:c>
      <x:c r="M2" s="34" t="n">
        <x:f>K2*L2</x:f>
        <x:v>0</x:v>
      </x:c>
      <x:c r="N2" s="25" t="n">
        <x:f>IF(C2&gt;='Case Inputs'!$H$3,D2*'Case Inputs'!$I$3,0)</x:f>
        <x:v>0</x:v>
      </x:c>
      <x:c r="O2" s="32" t="n">
        <x:f>N2*'Inputs'!$B$20</x:f>
        <x:v>0</x:v>
      </x:c>
      <x:c r="P2" s="34" t="n">
        <x:f>SUM(I2:J2)+M2+O2</x:f>
        <x:v>0</x:v>
      </x:c>
      <x:c r="Q2" s="32" t="n">
        <x:f>IF(F2&lt;='Inputs'!$B$7,0,IF(F2&lt;='Inputs'!$B$8,'Inputs'!$B$10,IF(F2&lt;='Inputs'!$B$9,'Inputs'!$B$11,'Inputs'!$B$12)))</x:f>
        <x:v>0</x:v>
      </x:c>
      <x:c r="R2" s="32" t="n">
        <x:f>'Inputs'!$B$6+Q2+D2*'Inputs'!$B$13</x:f>
        <x:v>20.5</x:v>
      </x:c>
      <x:c r="S2" s="32" t="n">
        <x:f>IF(C2&gt;='Inputs'!$B$32,'Case Inputs'!$L$3,0)</x:f>
        <x:v>0</x:v>
      </x:c>
      <x:c r="T2" s="32" t="n">
        <x:f>(M2+O2)*'Inputs'!$B$17+(K2*'Inputs'!$B$28+N2*'Inputs'!$B$29)*'Inputs'!$B$18+O2*'Inputs'!$B$19</x:f>
        <x:v>0</x:v>
      </x:c>
      <x:c r="U2" s="34" t="n">
        <x:f>SUM(R2:T2)</x:f>
        <x:v>20.5</x:v>
      </x:c>
      <x:c r="V2" s="34" t="n">
        <x:f>P2-U2</x:f>
        <x:v>-20.5</x:v>
      </x:c>
      <x:c r="W2" s="28" t="str">
        <x:f>IF(P2=0,"",V2/P2)</x:f>
      </x:c>
      <x:c r="X2" s="32" t="n">
        <x:f>'Inputs'!$B$21</x:f>
        <x:v>100</x:v>
      </x:c>
      <x:c r="Y2" s="32" t="n">
        <x:f>IF(OR(MONTH(B2)&gt;=9,MONTH(B2)&lt;=4),'Case Inputs'!$N$3,'Case Inputs'!$O$3)</x:f>
        <x:v>300</x:v>
      </x:c>
      <x:c r="Z2" s="32" t="n">
        <x:f>IF(C2&gt;='Inputs'!$B$32,'Case Inputs'!$P$3,0)</x:f>
        <x:v>0</x:v>
      </x:c>
      <x:c r="AA2" s="32" t="n">
        <x:f>IF(C2=1,'Case Inputs'!$M$3*'Inputs'!$B$30,IF(C2=2,'Case Inputs'!$M$3*'Inputs'!$B$31,0))</x:f>
        <x:v>1400</x:v>
      </x:c>
      <x:c r="AB2" s="34" t="n">
        <x:f>V2-SUM(X2:AA2)</x:f>
        <x:v>-1820.5</x:v>
      </x:c>
      <x:c r="AC2" s="32" t="n">
        <x:f>IF(C2&gt;'Inputs'!$B$24,INDEX($I$2:$I$25,MAX(1,C2-'Inputs'!$B$24)),0)+IF(C2&gt;'Inputs'!$B$25,INDEX($J$2:$J$25,MAX(1,C2-'Inputs'!$B$25)),0)+M2+O2</x:f>
        <x:v>0</x:v>
      </x:c>
      <x:c r="AD2" s="34" t="n">
        <x:f>U2+SUM(X2:AA2)</x:f>
        <x:v>1820.5</x:v>
      </x:c>
      <x:c r="AE2" s="34" t="n">
        <x:f>AC2-AD2</x:f>
        <x:v>-1820.5</x:v>
      </x:c>
      <x:c r="AF2" s="34" t="n">
        <x:f>SUM($AE$2:AE2)</x:f>
        <x:v>-1820.5</x:v>
      </x:c>
      <x:c r="AG2" s="32" t="n">
        <x:f>'Inputs'!$B$22*'Inputs'!$B$23</x:f>
        <x:v>4000</x:v>
      </x:c>
      <x:c r="AH2" s="34" t="n">
        <x:f>AB2-AG2</x:f>
        <x:v>-5820.5</x:v>
      </x:c>
    </x:row>
    <x:row r="3" ht="32" customHeight="1">
      <x:c r="A3" s="4" t="str">
        <x:v>Base</x:v>
      </x:c>
      <x:c r="B3" s="22" t="n">
        <x:v>46296</x:v>
      </x:c>
      <x:c r="C3" s="4" t="n">
        <x:v>2</x:v>
      </x:c>
      <x:c r="D3" s="24" t="n">
        <x:v>1500</x:v>
      </x:c>
      <x:c r="E3" s="30" t="n">
        <x:f>D3*'Inputs'!$B$2*'Inputs'!$B$3</x:f>
        <x:v>8250</x:v>
      </x:c>
      <x:c r="F3" s="30" t="n">
        <x:f>E3*'Inputs'!$B$4</x:f>
        <x:v>66000</x:v>
      </x:c>
      <x:c r="G3" s="30" t="n">
        <x:f>E3*'Inputs'!$B$5/'Inputs'!$B$26</x:f>
        <x:v>2.8875</x:v>
      </x:c>
      <x:c r="H3" s="30" t="n">
        <x:f>IF(C3&gt;='Case Inputs'!$G$3,D3*'Case Inputs'!$B$3,0)</x:f>
        <x:v>0</x:v>
      </x:c>
      <x:c r="I3" s="32" t="n">
        <x:f>H3*'Case Inputs'!$C$3*'Case Inputs'!$D$3*'Case Inputs'!$E$3</x:f>
        <x:v>0</x:v>
      </x:c>
      <x:c r="J3" s="32" t="n">
        <x:f>IF(AND(C3&gt;='Case Inputs'!$F$3,D3&gt;='Inputs'!$B$16),E3*'Inputs'!$B$14*'Inputs'!$B$15/'Inputs'!$B$27,0)</x:f>
        <x:v>0</x:v>
      </x:c>
      <x:c r="K3" s="24" t="n">
        <x:v>0</x:v>
      </x:c>
      <x:c r="L3" s="32" t="n">
        <x:f>IF(C3&lt;='Inputs'!$B$33,'Case Inputs'!$J$3,'Case Inputs'!$K$3)</x:f>
        <x:v>150</x:v>
      </x:c>
      <x:c r="M3" s="34" t="n">
        <x:f>K3*L3</x:f>
        <x:v>0</x:v>
      </x:c>
      <x:c r="N3" s="25" t="n">
        <x:f>IF(C3&gt;='Case Inputs'!$H$3,D3*'Case Inputs'!$I$3,0)</x:f>
        <x:v>0</x:v>
      </x:c>
      <x:c r="O3" s="32" t="n">
        <x:f>N3*'Inputs'!$B$20</x:f>
        <x:v>0</x:v>
      </x:c>
      <x:c r="P3" s="34" t="n">
        <x:f>SUM(I3:J3)+M3+O3</x:f>
        <x:v>0</x:v>
      </x:c>
      <x:c r="Q3" s="32" t="n">
        <x:f>IF(F3&lt;='Inputs'!$B$7,0,IF(F3&lt;='Inputs'!$B$8,'Inputs'!$B$10,IF(F3&lt;='Inputs'!$B$9,'Inputs'!$B$11,'Inputs'!$B$12)))</x:f>
        <x:v>0</x:v>
      </x:c>
      <x:c r="R3" s="32" t="n">
        <x:f>'Inputs'!$B$6+Q3+D3*'Inputs'!$B$13</x:f>
        <x:v>21.5</x:v>
      </x:c>
      <x:c r="S3" s="32" t="n">
        <x:f>IF(C3&gt;='Inputs'!$B$32,'Case Inputs'!$L$3,0)</x:f>
        <x:v>0</x:v>
      </x:c>
      <x:c r="T3" s="32" t="n">
        <x:f>(M3+O3)*'Inputs'!$B$17+(K3*'Inputs'!$B$28+N3*'Inputs'!$B$29)*'Inputs'!$B$18+O3*'Inputs'!$B$19</x:f>
        <x:v>0</x:v>
      </x:c>
      <x:c r="U3" s="34" t="n">
        <x:f>SUM(R3:T3)</x:f>
        <x:v>21.5</x:v>
      </x:c>
      <x:c r="V3" s="34" t="n">
        <x:f>P3-U3</x:f>
        <x:v>-21.5</x:v>
      </x:c>
      <x:c r="W3" s="28" t="str">
        <x:f>IF(P3=0,"",V3/P3)</x:f>
      </x:c>
      <x:c r="X3" s="32" t="n">
        <x:f>'Inputs'!$B$21</x:f>
        <x:v>100</x:v>
      </x:c>
      <x:c r="Y3" s="32" t="n">
        <x:f>IF(OR(MONTH(B3)&gt;=9,MONTH(B3)&lt;=4),'Case Inputs'!$N$3,'Case Inputs'!$O$3)</x:f>
        <x:v>300</x:v>
      </x:c>
      <x:c r="Z3" s="32" t="n">
        <x:f>IF(C3&gt;='Inputs'!$B$32,'Case Inputs'!$P$3,0)</x:f>
        <x:v>0</x:v>
      </x:c>
      <x:c r="AA3" s="32" t="n">
        <x:f>IF(C3=1,'Case Inputs'!$M$3*'Inputs'!$B$30,IF(C3=2,'Case Inputs'!$M$3*'Inputs'!$B$31,0))</x:f>
        <x:v>600</x:v>
      </x:c>
      <x:c r="AB3" s="34" t="n">
        <x:f>V3-SUM(X3:AA3)</x:f>
        <x:v>-1021.5</x:v>
      </x:c>
      <x:c r="AC3" s="32" t="n">
        <x:f>IF(C3&gt;'Inputs'!$B$24,INDEX($I$2:$I$25,MAX(1,C3-'Inputs'!$B$24)),0)+IF(C3&gt;'Inputs'!$B$25,INDEX($J$2:$J$25,MAX(1,C3-'Inputs'!$B$25)),0)+M3+O3</x:f>
        <x:v>0</x:v>
      </x:c>
      <x:c r="AD3" s="34" t="n">
        <x:f>U3+SUM(X3:AA3)</x:f>
        <x:v>1021.5</x:v>
      </x:c>
      <x:c r="AE3" s="34" t="n">
        <x:f>AC3-AD3</x:f>
        <x:v>-1021.5</x:v>
      </x:c>
      <x:c r="AF3" s="34" t="n">
        <x:f>SUM($AE$2:AE3)</x:f>
        <x:v>-2842</x:v>
      </x:c>
      <x:c r="AG3" s="32" t="n">
        <x:f>'Inputs'!$B$22*'Inputs'!$B$23</x:f>
        <x:v>4000</x:v>
      </x:c>
      <x:c r="AH3" s="34" t="n">
        <x:f>AB3-AG3</x:f>
        <x:v>-5021.5</x:v>
      </x:c>
    </x:row>
    <x:row r="4" ht="32" customHeight="1">
      <x:c r="A4" s="4" t="str">
        <x:v>Base</x:v>
      </x:c>
      <x:c r="B4" s="22" t="n">
        <x:v>46327</x:v>
      </x:c>
      <x:c r="C4" s="4" t="n">
        <x:v>3</x:v>
      </x:c>
      <x:c r="D4" s="24" t="n">
        <x:v>5000</x:v>
      </x:c>
      <x:c r="E4" s="30" t="n">
        <x:f>D4*'Inputs'!$B$2*'Inputs'!$B$3</x:f>
        <x:v>27500.000000000004</x:v>
      </x:c>
      <x:c r="F4" s="30" t="n">
        <x:f>E4*'Inputs'!$B$4</x:f>
        <x:v>220000.00000000003</x:v>
      </x:c>
      <x:c r="G4" s="30" t="n">
        <x:f>E4*'Inputs'!$B$5/'Inputs'!$B$26</x:f>
        <x:v>9.625</x:v>
      </x:c>
      <x:c r="H4" s="30" t="n">
        <x:f>IF(C4&gt;='Case Inputs'!$G$3,D4*'Case Inputs'!$B$3,0)</x:f>
        <x:v>125</x:v>
      </x:c>
      <x:c r="I4" s="32" t="n">
        <x:f>H4*'Case Inputs'!$C$3*'Case Inputs'!$D$3*'Case Inputs'!$E$3</x:f>
        <x:v>50</x:v>
      </x:c>
      <x:c r="J4" s="32" t="n">
        <x:f>IF(AND(C4&gt;='Case Inputs'!$F$3,D4&gt;='Inputs'!$B$16),E4*'Inputs'!$B$14*'Inputs'!$B$15/'Inputs'!$B$27,0)</x:f>
        <x:v>0</x:v>
      </x:c>
      <x:c r="K4" s="24" t="n">
        <x:v>0</x:v>
      </x:c>
      <x:c r="L4" s="32" t="n">
        <x:f>IF(C4&lt;='Inputs'!$B$33,'Case Inputs'!$J$3,'Case Inputs'!$K$3)</x:f>
        <x:v>150</x:v>
      </x:c>
      <x:c r="M4" s="34" t="n">
        <x:f>K4*L4</x:f>
        <x:v>0</x:v>
      </x:c>
      <x:c r="N4" s="25" t="n">
        <x:f>IF(C4&gt;='Case Inputs'!$H$3,D4*'Case Inputs'!$I$3,0)</x:f>
        <x:v>0</x:v>
      </x:c>
      <x:c r="O4" s="32" t="n">
        <x:f>N4*'Inputs'!$B$20</x:f>
        <x:v>0</x:v>
      </x:c>
      <x:c r="P4" s="34" t="n">
        <x:f>SUM(I4:J4)+M4+O4</x:f>
        <x:v>50</x:v>
      </x:c>
      <x:c r="Q4" s="32" t="n">
        <x:f>IF(F4&lt;='Inputs'!$B$7,0,IF(F4&lt;='Inputs'!$B$8,'Inputs'!$B$10,IF(F4&lt;='Inputs'!$B$9,'Inputs'!$B$11,'Inputs'!$B$12)))</x:f>
        <x:v>0</x:v>
      </x:c>
      <x:c r="R4" s="32" t="n">
        <x:f>'Inputs'!$B$6+Q4+D4*'Inputs'!$B$13</x:f>
        <x:v>25</x:v>
      </x:c>
      <x:c r="S4" s="32" t="n">
        <x:f>IF(C4&gt;='Inputs'!$B$32,'Case Inputs'!$L$3,0)</x:f>
        <x:v>50</x:v>
      </x:c>
      <x:c r="T4" s="32" t="n">
        <x:f>(M4+O4)*'Inputs'!$B$17+(K4*'Inputs'!$B$28+N4*'Inputs'!$B$29)*'Inputs'!$B$18+O4*'Inputs'!$B$19</x:f>
        <x:v>0</x:v>
      </x:c>
      <x:c r="U4" s="34" t="n">
        <x:f>SUM(R4:T4)</x:f>
        <x:v>75</x:v>
      </x:c>
      <x:c r="V4" s="34" t="n">
        <x:f>P4-U4</x:f>
        <x:v>-25</x:v>
      </x:c>
      <x:c r="W4" s="28" t="n">
        <x:f>IF(P4=0,"",V4/P4)</x:f>
        <x:v>-0.5</x:v>
      </x:c>
      <x:c r="X4" s="32" t="n">
        <x:f>'Inputs'!$B$21</x:f>
        <x:v>100</x:v>
      </x:c>
      <x:c r="Y4" s="32" t="n">
        <x:f>IF(OR(MONTH(B4)&gt;=9,MONTH(B4)&lt;=4),'Case Inputs'!$N$3,'Case Inputs'!$O$3)</x:f>
        <x:v>300</x:v>
      </x:c>
      <x:c r="Z4" s="32" t="n">
        <x:f>IF(C4&gt;='Inputs'!$B$32,'Case Inputs'!$P$3,0)</x:f>
        <x:v>200</x:v>
      </x:c>
      <x:c r="AA4" s="32" t="n">
        <x:f>IF(C4=1,'Case Inputs'!$M$3*'Inputs'!$B$30,IF(C4=2,'Case Inputs'!$M$3*'Inputs'!$B$31,0))</x:f>
        <x:v>0</x:v>
      </x:c>
      <x:c r="AB4" s="34" t="n">
        <x:f>V4-SUM(X4:AA4)</x:f>
        <x:v>-625</x:v>
      </x:c>
      <x:c r="AC4" s="32" t="n">
        <x:f>IF(C4&gt;'Inputs'!$B$24,INDEX($I$2:$I$25,MAX(1,C4-'Inputs'!$B$24)),0)+IF(C4&gt;'Inputs'!$B$25,INDEX($J$2:$J$25,MAX(1,C4-'Inputs'!$B$25)),0)+M4+O4</x:f>
        <x:v>0</x:v>
      </x:c>
      <x:c r="AD4" s="34" t="n">
        <x:f>U4+SUM(X4:AA4)</x:f>
        <x:v>675</x:v>
      </x:c>
      <x:c r="AE4" s="34" t="n">
        <x:f>AC4-AD4</x:f>
        <x:v>-675</x:v>
      </x:c>
      <x:c r="AF4" s="34" t="n">
        <x:f>SUM($AE$2:AE4)</x:f>
        <x:v>-3517</x:v>
      </x:c>
      <x:c r="AG4" s="32" t="n">
        <x:f>'Inputs'!$B$22*'Inputs'!$B$23</x:f>
        <x:v>4000</x:v>
      </x:c>
      <x:c r="AH4" s="34" t="n">
        <x:f>AB4-AG4</x:f>
        <x:v>-4625</x:v>
      </x:c>
    </x:row>
    <x:row r="5" ht="32" customHeight="1">
      <x:c r="A5" s="4" t="str">
        <x:v>Base</x:v>
      </x:c>
      <x:c r="B5" s="22" t="n">
        <x:v>46357</x:v>
      </x:c>
      <x:c r="C5" s="4" t="n">
        <x:v>4</x:v>
      </x:c>
      <x:c r="D5" s="24" t="n">
        <x:v>12000</x:v>
      </x:c>
      <x:c r="E5" s="30" t="n">
        <x:f>D5*'Inputs'!$B$2*'Inputs'!$B$3</x:f>
        <x:v>66000</x:v>
      </x:c>
      <x:c r="F5" s="30" t="n">
        <x:f>E5*'Inputs'!$B$4</x:f>
        <x:v>528000</x:v>
      </x:c>
      <x:c r="G5" s="30" t="n">
        <x:f>E5*'Inputs'!$B$5/'Inputs'!$B$26</x:f>
        <x:v>23.1</x:v>
      </x:c>
      <x:c r="H5" s="30" t="n">
        <x:f>IF(C5&gt;='Case Inputs'!$G$3,D5*'Case Inputs'!$B$3,0)</x:f>
        <x:v>300</x:v>
      </x:c>
      <x:c r="I5" s="32" t="n">
        <x:f>H5*'Case Inputs'!$C$3*'Case Inputs'!$D$3*'Case Inputs'!$E$3</x:f>
        <x:v>120</x:v>
      </x:c>
      <x:c r="J5" s="32" t="n">
        <x:f>IF(AND(C5&gt;='Case Inputs'!$F$3,D5&gt;='Inputs'!$B$16),E5*'Inputs'!$B$14*'Inputs'!$B$15/'Inputs'!$B$27,0)</x:f>
        <x:v>0</x:v>
      </x:c>
      <x:c r="K5" s="24" t="n">
        <x:v>1</x:v>
      </x:c>
      <x:c r="L5" s="32" t="n">
        <x:f>IF(C5&lt;='Inputs'!$B$33,'Case Inputs'!$J$3,'Case Inputs'!$K$3)</x:f>
        <x:v>150</x:v>
      </x:c>
      <x:c r="M5" s="34" t="n">
        <x:f>K5*L5</x:f>
        <x:v>150</x:v>
      </x:c>
      <x:c r="N5" s="25" t="n">
        <x:f>IF(C5&gt;='Case Inputs'!$H$3,D5*'Case Inputs'!$I$3,0)</x:f>
        <x:v>0</x:v>
      </x:c>
      <x:c r="O5" s="32" t="n">
        <x:f>N5*'Inputs'!$B$20</x:f>
        <x:v>0</x:v>
      </x:c>
      <x:c r="P5" s="34" t="n">
        <x:f>SUM(I5:J5)+M5+O5</x:f>
        <x:v>270</x:v>
      </x:c>
      <x:c r="Q5" s="32" t="n">
        <x:f>IF(F5&lt;='Inputs'!$B$7,0,IF(F5&lt;='Inputs'!$B$8,'Inputs'!$B$10,IF(F5&lt;='Inputs'!$B$9,'Inputs'!$B$11,'Inputs'!$B$12)))</x:f>
        <x:v>0</x:v>
      </x:c>
      <x:c r="R5" s="32" t="n">
        <x:f>'Inputs'!$B$6+Q5+D5*'Inputs'!$B$13</x:f>
        <x:v>32</x:v>
      </x:c>
      <x:c r="S5" s="32" t="n">
        <x:f>IF(C5&gt;='Inputs'!$B$32,'Case Inputs'!$L$3,0)</x:f>
        <x:v>50</x:v>
      </x:c>
      <x:c r="T5" s="32" t="n">
        <x:f>(M5+O5)*'Inputs'!$B$17+(K5*'Inputs'!$B$28+N5*'Inputs'!$B$29)*'Inputs'!$B$18+O5*'Inputs'!$B$19</x:f>
        <x:v>4.65</x:v>
      </x:c>
      <x:c r="U5" s="34" t="n">
        <x:f>SUM(R5:T5)</x:f>
        <x:v>86.65</x:v>
      </x:c>
      <x:c r="V5" s="34" t="n">
        <x:f>P5-U5</x:f>
        <x:v>183.35</x:v>
      </x:c>
      <x:c r="W5" s="28" t="n">
        <x:f>IF(P5=0,"",V5/P5)</x:f>
        <x:v>0.679074074074074</x:v>
      </x:c>
      <x:c r="X5" s="32" t="n">
        <x:f>'Inputs'!$B$21</x:f>
        <x:v>100</x:v>
      </x:c>
      <x:c r="Y5" s="32" t="n">
        <x:f>IF(OR(MONTH(B5)&gt;=9,MONTH(B5)&lt;=4),'Case Inputs'!$N$3,'Case Inputs'!$O$3)</x:f>
        <x:v>300</x:v>
      </x:c>
      <x:c r="Z5" s="32" t="n">
        <x:f>IF(C5&gt;='Inputs'!$B$32,'Case Inputs'!$P$3,0)</x:f>
        <x:v>200</x:v>
      </x:c>
      <x:c r="AA5" s="32" t="n">
        <x:f>IF(C5=1,'Case Inputs'!$M$3*'Inputs'!$B$30,IF(C5=2,'Case Inputs'!$M$3*'Inputs'!$B$31,0))</x:f>
        <x:v>0</x:v>
      </x:c>
      <x:c r="AB5" s="34" t="n">
        <x:f>V5-SUM(X5:AA5)</x:f>
        <x:v>-416.65</x:v>
      </x:c>
      <x:c r="AC5" s="32" t="n">
        <x:f>IF(C5&gt;'Inputs'!$B$24,INDEX($I$2:$I$25,MAX(1,C5-'Inputs'!$B$24)),0)+IF(C5&gt;'Inputs'!$B$25,INDEX($J$2:$J$25,MAX(1,C5-'Inputs'!$B$25)),0)+M5+O5</x:f>
        <x:v>150</x:v>
      </x:c>
      <x:c r="AD5" s="34" t="n">
        <x:f>U5+SUM(X5:AA5)</x:f>
        <x:v>686.65</x:v>
      </x:c>
      <x:c r="AE5" s="34" t="n">
        <x:f>AC5-AD5</x:f>
        <x:v>-536.65</x:v>
      </x:c>
      <x:c r="AF5" s="34" t="n">
        <x:f>SUM($AE$2:AE5)</x:f>
        <x:v>-4053.65</x:v>
      </x:c>
      <x:c r="AG5" s="32" t="n">
        <x:f>'Inputs'!$B$22*'Inputs'!$B$23</x:f>
        <x:v>4000</x:v>
      </x:c>
      <x:c r="AH5" s="34" t="n">
        <x:f>AB5-AG5</x:f>
        <x:v>-4416.65</x:v>
      </x:c>
    </x:row>
    <x:row r="6" ht="32" customHeight="1">
      <x:c r="A6" s="4" t="str">
        <x:v>Base</x:v>
      </x:c>
      <x:c r="B6" s="22" t="n">
        <x:v>46388</x:v>
      </x:c>
      <x:c r="C6" s="4" t="n">
        <x:v>5</x:v>
      </x:c>
      <x:c r="D6" s="24" t="n">
        <x:v>25000</x:v>
      </x:c>
      <x:c r="E6" s="30" t="n">
        <x:f>D6*'Inputs'!$B$2*'Inputs'!$B$3</x:f>
        <x:v>137500</x:v>
      </x:c>
      <x:c r="F6" s="30" t="n">
        <x:f>E6*'Inputs'!$B$4</x:f>
        <x:v>1100000</x:v>
      </x:c>
      <x:c r="G6" s="30" t="n">
        <x:f>E6*'Inputs'!$B$5/'Inputs'!$B$26</x:f>
        <x:v>48.125</x:v>
      </x:c>
      <x:c r="H6" s="30" t="n">
        <x:f>IF(C6&gt;='Case Inputs'!$G$3,D6*'Case Inputs'!$B$3,0)</x:f>
        <x:v>625</x:v>
      </x:c>
      <x:c r="I6" s="32" t="n">
        <x:f>H6*'Case Inputs'!$C$3*'Case Inputs'!$D$3*'Case Inputs'!$E$3</x:f>
        <x:v>250</x:v>
      </x:c>
      <x:c r="J6" s="32" t="n">
        <x:f>IF(AND(C6&gt;='Case Inputs'!$F$3,D6&gt;='Inputs'!$B$16),E6*'Inputs'!$B$14*'Inputs'!$B$15/'Inputs'!$B$27,0)</x:f>
        <x:v>412.5</x:v>
      </x:c>
      <x:c r="K6" s="24" t="n">
        <x:v>2</x:v>
      </x:c>
      <x:c r="L6" s="32" t="n">
        <x:f>IF(C6&lt;='Inputs'!$B$33,'Case Inputs'!$J$3,'Case Inputs'!$K$3)</x:f>
        <x:v>150</x:v>
      </x:c>
      <x:c r="M6" s="34" t="n">
        <x:f>K6*L6</x:f>
        <x:v>300</x:v>
      </x:c>
      <x:c r="N6" s="25" t="n">
        <x:f>IF(C6&gt;='Case Inputs'!$H$3,D6*'Case Inputs'!$I$3,0)</x:f>
        <x:v>0</x:v>
      </x:c>
      <x:c r="O6" s="32" t="n">
        <x:f>N6*'Inputs'!$B$20</x:f>
        <x:v>0</x:v>
      </x:c>
      <x:c r="P6" s="34" t="n">
        <x:f>SUM(I6:J6)+M6+O6</x:f>
        <x:v>962.5</x:v>
      </x:c>
      <x:c r="Q6" s="32" t="n">
        <x:f>IF(F6&lt;='Inputs'!$B$7,0,IF(F6&lt;='Inputs'!$B$8,'Inputs'!$B$10,IF(F6&lt;='Inputs'!$B$9,'Inputs'!$B$11,'Inputs'!$B$12)))</x:f>
        <x:v>20</x:v>
      </x:c>
      <x:c r="R6" s="32" t="n">
        <x:f>'Inputs'!$B$6+Q6+D6*'Inputs'!$B$13</x:f>
        <x:v>65</x:v>
      </x:c>
      <x:c r="S6" s="32" t="n">
        <x:f>IF(C6&gt;='Inputs'!$B$32,'Case Inputs'!$L$3,0)</x:f>
        <x:v>50</x:v>
      </x:c>
      <x:c r="T6" s="32" t="n">
        <x:f>(M6+O6)*'Inputs'!$B$17+(K6*'Inputs'!$B$28+N6*'Inputs'!$B$29)*'Inputs'!$B$18+O6*'Inputs'!$B$19</x:f>
        <x:v>9.3</x:v>
      </x:c>
      <x:c r="U6" s="34" t="n">
        <x:f>SUM(R6:T6)</x:f>
        <x:v>124.3</x:v>
      </x:c>
      <x:c r="V6" s="34" t="n">
        <x:f>P6-U6</x:f>
        <x:v>838.2</x:v>
      </x:c>
      <x:c r="W6" s="28" t="n">
        <x:f>IF(P6=0,"",V6/P6)</x:f>
        <x:v>0.8708571428571429</x:v>
      </x:c>
      <x:c r="X6" s="32" t="n">
        <x:f>'Inputs'!$B$21</x:f>
        <x:v>100</x:v>
      </x:c>
      <x:c r="Y6" s="32" t="n">
        <x:f>IF(OR(MONTH(B6)&gt;=9,MONTH(B6)&lt;=4),'Case Inputs'!$N$3,'Case Inputs'!$O$3)</x:f>
        <x:v>300</x:v>
      </x:c>
      <x:c r="Z6" s="32" t="n">
        <x:f>IF(C6&gt;='Inputs'!$B$32,'Case Inputs'!$P$3,0)</x:f>
        <x:v>200</x:v>
      </x:c>
      <x:c r="AA6" s="32" t="n">
        <x:f>IF(C6=1,'Case Inputs'!$M$3*'Inputs'!$B$30,IF(C6=2,'Case Inputs'!$M$3*'Inputs'!$B$31,0))</x:f>
        <x:v>0</x:v>
      </x:c>
      <x:c r="AB6" s="34" t="n">
        <x:f>V6-SUM(X6:AA6)</x:f>
        <x:v>238.20000000000005</x:v>
      </x:c>
      <x:c r="AC6" s="32" t="n">
        <x:f>IF(C6&gt;'Inputs'!$B$24,INDEX($I$2:$I$25,MAX(1,C6-'Inputs'!$B$24)),0)+IF(C6&gt;'Inputs'!$B$25,INDEX($J$2:$J$25,MAX(1,C6-'Inputs'!$B$25)),0)+M6+O6</x:f>
        <x:v>350</x:v>
      </x:c>
      <x:c r="AD6" s="34" t="n">
        <x:f>U6+SUM(X6:AA6)</x:f>
        <x:v>724.3</x:v>
      </x:c>
      <x:c r="AE6" s="34" t="n">
        <x:f>AC6-AD6</x:f>
        <x:v>-374.29999999999995</x:v>
      </x:c>
      <x:c r="AF6" s="34" t="n">
        <x:f>SUM($AE$2:AE6)</x:f>
        <x:v>-4427.95</x:v>
      </x:c>
      <x:c r="AG6" s="32" t="n">
        <x:f>'Inputs'!$B$22*'Inputs'!$B$23</x:f>
        <x:v>4000</x:v>
      </x:c>
      <x:c r="AH6" s="34" t="n">
        <x:f>AB6-AG6</x:f>
        <x:v>-3761.8</x:v>
      </x:c>
    </x:row>
    <x:row r="7" ht="32" customHeight="1">
      <x:c r="A7" s="4" t="str">
        <x:v>Base</x:v>
      </x:c>
      <x:c r="B7" s="22" t="n">
        <x:v>46419</x:v>
      </x:c>
      <x:c r="C7" s="4" t="n">
        <x:v>6</x:v>
      </x:c>
      <x:c r="D7" s="24" t="n">
        <x:v>35000</x:v>
      </x:c>
      <x:c r="E7" s="30" t="n">
        <x:f>D7*'Inputs'!$B$2*'Inputs'!$B$3</x:f>
        <x:v>192500.00000000003</x:v>
      </x:c>
      <x:c r="F7" s="30" t="n">
        <x:f>E7*'Inputs'!$B$4</x:f>
        <x:v>1540000.0000000002</x:v>
      </x:c>
      <x:c r="G7" s="30" t="n">
        <x:f>E7*'Inputs'!$B$5/'Inputs'!$B$26</x:f>
        <x:v>67.375</x:v>
      </x:c>
      <x:c r="H7" s="30" t="n">
        <x:f>IF(C7&gt;='Case Inputs'!$G$3,D7*'Case Inputs'!$B$3,0)</x:f>
        <x:v>875</x:v>
      </x:c>
      <x:c r="I7" s="32" t="n">
        <x:f>H7*'Case Inputs'!$C$3*'Case Inputs'!$D$3*'Case Inputs'!$E$3</x:f>
        <x:v>350</x:v>
      </x:c>
      <x:c r="J7" s="32" t="n">
        <x:f>IF(AND(C7&gt;='Case Inputs'!$F$3,D7&gt;='Inputs'!$B$16),E7*'Inputs'!$B$14*'Inputs'!$B$15/'Inputs'!$B$27,0)</x:f>
        <x:v>577.5000000000001</x:v>
      </x:c>
      <x:c r="K7" s="24" t="n">
        <x:v>3</x:v>
      </x:c>
      <x:c r="L7" s="32" t="n">
        <x:f>IF(C7&lt;='Inputs'!$B$33,'Case Inputs'!$J$3,'Case Inputs'!$K$3)</x:f>
        <x:v>150</x:v>
      </x:c>
      <x:c r="M7" s="34" t="n">
        <x:f>K7*L7</x:f>
        <x:v>450</x:v>
      </x:c>
      <x:c r="N7" s="25" t="n">
        <x:f>IF(C7&gt;='Case Inputs'!$H$3,D7*'Case Inputs'!$I$3,0)</x:f>
        <x:v>0</x:v>
      </x:c>
      <x:c r="O7" s="32" t="n">
        <x:f>N7*'Inputs'!$B$20</x:f>
        <x:v>0</x:v>
      </x:c>
      <x:c r="P7" s="34" t="n">
        <x:f>SUM(I7:J7)+M7+O7</x:f>
        <x:v>1377.5</x:v>
      </x:c>
      <x:c r="Q7" s="32" t="n">
        <x:f>IF(F7&lt;='Inputs'!$B$7,0,IF(F7&lt;='Inputs'!$B$8,'Inputs'!$B$10,IF(F7&lt;='Inputs'!$B$9,'Inputs'!$B$11,'Inputs'!$B$12)))</x:f>
        <x:v>20</x:v>
      </x:c>
      <x:c r="R7" s="32" t="n">
        <x:f>'Inputs'!$B$6+Q7+D7*'Inputs'!$B$13</x:f>
        <x:v>75</x:v>
      </x:c>
      <x:c r="S7" s="32" t="n">
        <x:f>IF(C7&gt;='Inputs'!$B$32,'Case Inputs'!$L$3,0)</x:f>
        <x:v>50</x:v>
      </x:c>
      <x:c r="T7" s="32" t="n">
        <x:f>(M7+O7)*'Inputs'!$B$17+(K7*'Inputs'!$B$28+N7*'Inputs'!$B$29)*'Inputs'!$B$18+O7*'Inputs'!$B$19</x:f>
        <x:v>13.950000000000001</x:v>
      </x:c>
      <x:c r="U7" s="34" t="n">
        <x:f>SUM(R7:T7)</x:f>
        <x:v>138.95</x:v>
      </x:c>
      <x:c r="V7" s="34" t="n">
        <x:f>P7-U7</x:f>
        <x:v>1238.55</x:v>
      </x:c>
      <x:c r="W7" s="28" t="n">
        <x:f>IF(P7=0,"",V7/P7)</x:f>
        <x:v>0.8991288566243194</x:v>
      </x:c>
      <x:c r="X7" s="32" t="n">
        <x:f>'Inputs'!$B$21</x:f>
        <x:v>100</x:v>
      </x:c>
      <x:c r="Y7" s="32" t="n">
        <x:f>IF(OR(MONTH(B7)&gt;=9,MONTH(B7)&lt;=4),'Case Inputs'!$N$3,'Case Inputs'!$O$3)</x:f>
        <x:v>300</x:v>
      </x:c>
      <x:c r="Z7" s="32" t="n">
        <x:f>IF(C7&gt;='Inputs'!$B$32,'Case Inputs'!$P$3,0)</x:f>
        <x:v>200</x:v>
      </x:c>
      <x:c r="AA7" s="32" t="n">
        <x:f>IF(C7=1,'Case Inputs'!$M$3*'Inputs'!$B$30,IF(C7=2,'Case Inputs'!$M$3*'Inputs'!$B$31,0))</x:f>
        <x:v>0</x:v>
      </x:c>
      <x:c r="AB7" s="34" t="n">
        <x:f>V7-SUM(X7:AA7)</x:f>
        <x:v>638.55</x:v>
      </x:c>
      <x:c r="AC7" s="32" t="n">
        <x:f>IF(C7&gt;'Inputs'!$B$24,INDEX($I$2:$I$25,MAX(1,C7-'Inputs'!$B$24)),0)+IF(C7&gt;'Inputs'!$B$25,INDEX($J$2:$J$25,MAX(1,C7-'Inputs'!$B$25)),0)+M7+O7</x:f>
        <x:v>982.5</x:v>
      </x:c>
      <x:c r="AD7" s="34" t="n">
        <x:f>U7+SUM(X7:AA7)</x:f>
        <x:v>738.95</x:v>
      </x:c>
      <x:c r="AE7" s="34" t="n">
        <x:f>AC7-AD7</x:f>
        <x:v>243.54999999999995</x:v>
      </x:c>
      <x:c r="AF7" s="34" t="n">
        <x:f>SUM($AE$2:AE7)</x:f>
        <x:v>-4184.4</x:v>
      </x:c>
      <x:c r="AG7" s="32" t="n">
        <x:f>'Inputs'!$B$22*'Inputs'!$B$23</x:f>
        <x:v>4000</x:v>
      </x:c>
      <x:c r="AH7" s="34" t="n">
        <x:f>AB7-AG7</x:f>
        <x:v>-3361.45</x:v>
      </x:c>
    </x:row>
    <x:row r="8" ht="32" customHeight="1">
      <x:c r="A8" s="4" t="str">
        <x:v>Base</x:v>
      </x:c>
      <x:c r="B8" s="22" t="n">
        <x:v>46447</x:v>
      </x:c>
      <x:c r="C8" s="4" t="n">
        <x:v>7</x:v>
      </x:c>
      <x:c r="D8" s="24" t="n">
        <x:v>25000</x:v>
      </x:c>
      <x:c r="E8" s="30" t="n">
        <x:f>D8*'Inputs'!$B$2*'Inputs'!$B$3</x:f>
        <x:v>137500</x:v>
      </x:c>
      <x:c r="F8" s="30" t="n">
        <x:f>E8*'Inputs'!$B$4</x:f>
        <x:v>1100000</x:v>
      </x:c>
      <x:c r="G8" s="30" t="n">
        <x:f>E8*'Inputs'!$B$5/'Inputs'!$B$26</x:f>
        <x:v>48.125</x:v>
      </x:c>
      <x:c r="H8" s="30" t="n">
        <x:f>IF(C8&gt;='Case Inputs'!$G$3,D8*'Case Inputs'!$B$3,0)</x:f>
        <x:v>625</x:v>
      </x:c>
      <x:c r="I8" s="32" t="n">
        <x:f>H8*'Case Inputs'!$C$3*'Case Inputs'!$D$3*'Case Inputs'!$E$3</x:f>
        <x:v>250</x:v>
      </x:c>
      <x:c r="J8" s="32" t="n">
        <x:f>IF(AND(C8&gt;='Case Inputs'!$F$3,D8&gt;='Inputs'!$B$16),E8*'Inputs'!$B$14*'Inputs'!$B$15/'Inputs'!$B$27,0)</x:f>
        <x:v>412.5</x:v>
      </x:c>
      <x:c r="K8" s="24" t="n">
        <x:v>3</x:v>
      </x:c>
      <x:c r="L8" s="32" t="n">
        <x:f>IF(C8&lt;='Inputs'!$B$33,'Case Inputs'!$J$3,'Case Inputs'!$K$3)</x:f>
        <x:v>150</x:v>
      </x:c>
      <x:c r="M8" s="34" t="n">
        <x:f>K8*L8</x:f>
        <x:v>450</x:v>
      </x:c>
      <x:c r="N8" s="25" t="n">
        <x:f>IF(C8&gt;='Case Inputs'!$H$3,D8*'Case Inputs'!$I$3,0)</x:f>
        <x:v>0</x:v>
      </x:c>
      <x:c r="O8" s="32" t="n">
        <x:f>N8*'Inputs'!$B$20</x:f>
        <x:v>0</x:v>
      </x:c>
      <x:c r="P8" s="34" t="n">
        <x:f>SUM(I8:J8)+M8+O8</x:f>
        <x:v>1112.5</x:v>
      </x:c>
      <x:c r="Q8" s="32" t="n">
        <x:f>IF(F8&lt;='Inputs'!$B$7,0,IF(F8&lt;='Inputs'!$B$8,'Inputs'!$B$10,IF(F8&lt;='Inputs'!$B$9,'Inputs'!$B$11,'Inputs'!$B$12)))</x:f>
        <x:v>20</x:v>
      </x:c>
      <x:c r="R8" s="32" t="n">
        <x:f>'Inputs'!$B$6+Q8+D8*'Inputs'!$B$13</x:f>
        <x:v>65</x:v>
      </x:c>
      <x:c r="S8" s="32" t="n">
        <x:f>IF(C8&gt;='Inputs'!$B$32,'Case Inputs'!$L$3,0)</x:f>
        <x:v>50</x:v>
      </x:c>
      <x:c r="T8" s="32" t="n">
        <x:f>(M8+O8)*'Inputs'!$B$17+(K8*'Inputs'!$B$28+N8*'Inputs'!$B$29)*'Inputs'!$B$18+O8*'Inputs'!$B$19</x:f>
        <x:v>13.950000000000001</x:v>
      </x:c>
      <x:c r="U8" s="34" t="n">
        <x:f>SUM(R8:T8)</x:f>
        <x:v>128.95</x:v>
      </x:c>
      <x:c r="V8" s="34" t="n">
        <x:f>P8-U8</x:f>
        <x:v>983.55</x:v>
      </x:c>
      <x:c r="W8" s="28" t="n">
        <x:f>IF(P8=0,"",V8/P8)</x:f>
        <x:v>0.8840898876404494</x:v>
      </x:c>
      <x:c r="X8" s="32" t="n">
        <x:f>'Inputs'!$B$21</x:f>
        <x:v>100</x:v>
      </x:c>
      <x:c r="Y8" s="32" t="n">
        <x:f>IF(OR(MONTH(B8)&gt;=9,MONTH(B8)&lt;=4),'Case Inputs'!$N$3,'Case Inputs'!$O$3)</x:f>
        <x:v>300</x:v>
      </x:c>
      <x:c r="Z8" s="32" t="n">
        <x:f>IF(C8&gt;='Inputs'!$B$32,'Case Inputs'!$P$3,0)</x:f>
        <x:v>200</x:v>
      </x:c>
      <x:c r="AA8" s="32" t="n">
        <x:f>IF(C8=1,'Case Inputs'!$M$3*'Inputs'!$B$30,IF(C8=2,'Case Inputs'!$M$3*'Inputs'!$B$31,0))</x:f>
        <x:v>0</x:v>
      </x:c>
      <x:c r="AB8" s="34" t="n">
        <x:f>V8-SUM(X8:AA8)</x:f>
        <x:v>383.54999999999995</x:v>
      </x:c>
      <x:c r="AC8" s="32" t="n">
        <x:f>IF(C8&gt;'Inputs'!$B$24,INDEX($I$2:$I$25,MAX(1,C8-'Inputs'!$B$24)),0)+IF(C8&gt;'Inputs'!$B$25,INDEX($J$2:$J$25,MAX(1,C8-'Inputs'!$B$25)),0)+M8+O8</x:f>
        <x:v>1277.5</x:v>
      </x:c>
      <x:c r="AD8" s="34" t="n">
        <x:f>U8+SUM(X8:AA8)</x:f>
        <x:v>728.95</x:v>
      </x:c>
      <x:c r="AE8" s="34" t="n">
        <x:f>AC8-AD8</x:f>
        <x:v>548.55</x:v>
      </x:c>
      <x:c r="AF8" s="34" t="n">
        <x:f>SUM($AE$2:AE8)</x:f>
        <x:v>-3635.8499999999995</x:v>
      </x:c>
      <x:c r="AG8" s="32" t="n">
        <x:f>'Inputs'!$B$22*'Inputs'!$B$23</x:f>
        <x:v>4000</x:v>
      </x:c>
      <x:c r="AH8" s="34" t="n">
        <x:f>AB8-AG8</x:f>
        <x:v>-3616.45</x:v>
      </x:c>
    </x:row>
    <x:row r="9" ht="32" customHeight="1">
      <x:c r="A9" s="4" t="str">
        <x:v>Base</x:v>
      </x:c>
      <x:c r="B9" s="22" t="n">
        <x:v>46478</x:v>
      </x:c>
      <x:c r="C9" s="4" t="n">
        <x:v>8</x:v>
      </x:c>
      <x:c r="D9" s="24" t="n">
        <x:v>12000</x:v>
      </x:c>
      <x:c r="E9" s="30" t="n">
        <x:f>D9*'Inputs'!$B$2*'Inputs'!$B$3</x:f>
        <x:v>66000</x:v>
      </x:c>
      <x:c r="F9" s="30" t="n">
        <x:f>E9*'Inputs'!$B$4</x:f>
        <x:v>528000</x:v>
      </x:c>
      <x:c r="G9" s="30" t="n">
        <x:f>E9*'Inputs'!$B$5/'Inputs'!$B$26</x:f>
        <x:v>23.1</x:v>
      </x:c>
      <x:c r="H9" s="30" t="n">
        <x:f>IF(C9&gt;='Case Inputs'!$G$3,D9*'Case Inputs'!$B$3,0)</x:f>
        <x:v>300</x:v>
      </x:c>
      <x:c r="I9" s="32" t="n">
        <x:f>H9*'Case Inputs'!$C$3*'Case Inputs'!$D$3*'Case Inputs'!$E$3</x:f>
        <x:v>120</x:v>
      </x:c>
      <x:c r="J9" s="32" t="n">
        <x:f>IF(AND(C9&gt;='Case Inputs'!$F$3,D9&gt;='Inputs'!$B$16),E9*'Inputs'!$B$14*'Inputs'!$B$15/'Inputs'!$B$27,0)</x:f>
        <x:v>198</x:v>
      </x:c>
      <x:c r="K9" s="24" t="n">
        <x:v>2</x:v>
      </x:c>
      <x:c r="L9" s="32" t="n">
        <x:f>IF(C9&lt;='Inputs'!$B$33,'Case Inputs'!$J$3,'Case Inputs'!$K$3)</x:f>
        <x:v>150</x:v>
      </x:c>
      <x:c r="M9" s="34" t="n">
        <x:f>K9*L9</x:f>
        <x:v>300</x:v>
      </x:c>
      <x:c r="N9" s="25" t="n">
        <x:f>IF(C9&gt;='Case Inputs'!$H$3,D9*'Case Inputs'!$I$3,0)</x:f>
        <x:v>0</x:v>
      </x:c>
      <x:c r="O9" s="32" t="n">
        <x:f>N9*'Inputs'!$B$20</x:f>
        <x:v>0</x:v>
      </x:c>
      <x:c r="P9" s="34" t="n">
        <x:f>SUM(I9:J9)+M9+O9</x:f>
        <x:v>618</x:v>
      </x:c>
      <x:c r="Q9" s="32" t="n">
        <x:f>IF(F9&lt;='Inputs'!$B$7,0,IF(F9&lt;='Inputs'!$B$8,'Inputs'!$B$10,IF(F9&lt;='Inputs'!$B$9,'Inputs'!$B$11,'Inputs'!$B$12)))</x:f>
        <x:v>0</x:v>
      </x:c>
      <x:c r="R9" s="32" t="n">
        <x:f>'Inputs'!$B$6+Q9+D9*'Inputs'!$B$13</x:f>
        <x:v>32</x:v>
      </x:c>
      <x:c r="S9" s="32" t="n">
        <x:f>IF(C9&gt;='Inputs'!$B$32,'Case Inputs'!$L$3,0)</x:f>
        <x:v>50</x:v>
      </x:c>
      <x:c r="T9" s="32" t="n">
        <x:f>(M9+O9)*'Inputs'!$B$17+(K9*'Inputs'!$B$28+N9*'Inputs'!$B$29)*'Inputs'!$B$18+O9*'Inputs'!$B$19</x:f>
        <x:v>9.3</x:v>
      </x:c>
      <x:c r="U9" s="34" t="n">
        <x:f>SUM(R9:T9)</x:f>
        <x:v>91.3</x:v>
      </x:c>
      <x:c r="V9" s="34" t="n">
        <x:f>P9-U9</x:f>
        <x:v>526.7</x:v>
      </x:c>
      <x:c r="W9" s="28" t="n">
        <x:f>IF(P9=0,"",V9/P9)</x:f>
        <x:v>0.8522653721682849</x:v>
      </x:c>
      <x:c r="X9" s="32" t="n">
        <x:f>'Inputs'!$B$21</x:f>
        <x:v>100</x:v>
      </x:c>
      <x:c r="Y9" s="32" t="n">
        <x:f>IF(OR(MONTH(B9)&gt;=9,MONTH(B9)&lt;=4),'Case Inputs'!$N$3,'Case Inputs'!$O$3)</x:f>
        <x:v>300</x:v>
      </x:c>
      <x:c r="Z9" s="32" t="n">
        <x:f>IF(C9&gt;='Inputs'!$B$32,'Case Inputs'!$P$3,0)</x:f>
        <x:v>200</x:v>
      </x:c>
      <x:c r="AA9" s="32" t="n">
        <x:f>IF(C9=1,'Case Inputs'!$M$3*'Inputs'!$B$30,IF(C9=2,'Case Inputs'!$M$3*'Inputs'!$B$31,0))</x:f>
        <x:v>0</x:v>
      </x:c>
      <x:c r="AB9" s="34" t="n">
        <x:f>V9-SUM(X9:AA9)</x:f>
        <x:v>-73.29999999999995</x:v>
      </x:c>
      <x:c r="AC9" s="32" t="n">
        <x:f>IF(C9&gt;'Inputs'!$B$24,INDEX($I$2:$I$25,MAX(1,C9-'Inputs'!$B$24)),0)+IF(C9&gt;'Inputs'!$B$25,INDEX($J$2:$J$25,MAX(1,C9-'Inputs'!$B$25)),0)+M9+O9</x:f>
        <x:v>1062.5</x:v>
      </x:c>
      <x:c r="AD9" s="34" t="n">
        <x:f>U9+SUM(X9:AA9)</x:f>
        <x:v>691.3</x:v>
      </x:c>
      <x:c r="AE9" s="34" t="n">
        <x:f>AC9-AD9</x:f>
        <x:v>371.20000000000005</x:v>
      </x:c>
      <x:c r="AF9" s="34" t="n">
        <x:f>SUM($AE$2:AE9)</x:f>
        <x:v>-3264.6499999999996</x:v>
      </x:c>
      <x:c r="AG9" s="32" t="n">
        <x:f>'Inputs'!$B$22*'Inputs'!$B$23</x:f>
        <x:v>4000</x:v>
      </x:c>
      <x:c r="AH9" s="34" t="n">
        <x:f>AB9-AG9</x:f>
        <x:v>-4073.3</x:v>
      </x:c>
    </x:row>
    <x:row r="10" ht="32" customHeight="1">
      <x:c r="A10" s="4" t="str">
        <x:v>Base</x:v>
      </x:c>
      <x:c r="B10" s="22" t="n">
        <x:v>46508</x:v>
      </x:c>
      <x:c r="C10" s="4" t="n">
        <x:v>9</x:v>
      </x:c>
      <x:c r="D10" s="24" t="n">
        <x:v>4000</x:v>
      </x:c>
      <x:c r="E10" s="30" t="n">
        <x:f>D10*'Inputs'!$B$2*'Inputs'!$B$3</x:f>
        <x:v>22000</x:v>
      </x:c>
      <x:c r="F10" s="30" t="n">
        <x:f>E10*'Inputs'!$B$4</x:f>
        <x:v>176000</x:v>
      </x:c>
      <x:c r="G10" s="30" t="n">
        <x:f>E10*'Inputs'!$B$5/'Inputs'!$B$26</x:f>
        <x:v>7.699999999999999</x:v>
      </x:c>
      <x:c r="H10" s="30" t="n">
        <x:f>IF(C10&gt;='Case Inputs'!$G$3,D10*'Case Inputs'!$B$3,0)</x:f>
        <x:v>100</x:v>
      </x:c>
      <x:c r="I10" s="32" t="n">
        <x:f>H10*'Case Inputs'!$C$3*'Case Inputs'!$D$3*'Case Inputs'!$E$3</x:f>
        <x:v>40</x:v>
      </x:c>
      <x:c r="J10" s="32" t="n">
        <x:f>IF(AND(C10&gt;='Case Inputs'!$F$3,D10&gt;='Inputs'!$B$16),E10*'Inputs'!$B$14*'Inputs'!$B$15/'Inputs'!$B$27,0)</x:f>
        <x:v>0</x:v>
      </x:c>
      <x:c r="K10" s="24" t="n">
        <x:v>0</x:v>
      </x:c>
      <x:c r="L10" s="32" t="n">
        <x:f>IF(C10&lt;='Inputs'!$B$33,'Case Inputs'!$J$3,'Case Inputs'!$K$3)</x:f>
        <x:v>150</x:v>
      </x:c>
      <x:c r="M10" s="34" t="n">
        <x:f>K10*L10</x:f>
        <x:v>0</x:v>
      </x:c>
      <x:c r="N10" s="25" t="n">
        <x:f>IF(C10&gt;='Case Inputs'!$H$3,D10*'Case Inputs'!$I$3,0)</x:f>
        <x:v>0</x:v>
      </x:c>
      <x:c r="O10" s="32" t="n">
        <x:f>N10*'Inputs'!$B$20</x:f>
        <x:v>0</x:v>
      </x:c>
      <x:c r="P10" s="34" t="n">
        <x:f>SUM(I10:J10)+M10+O10</x:f>
        <x:v>40</x:v>
      </x:c>
      <x:c r="Q10" s="32" t="n">
        <x:f>IF(F10&lt;='Inputs'!$B$7,0,IF(F10&lt;='Inputs'!$B$8,'Inputs'!$B$10,IF(F10&lt;='Inputs'!$B$9,'Inputs'!$B$11,'Inputs'!$B$12)))</x:f>
        <x:v>0</x:v>
      </x:c>
      <x:c r="R10" s="32" t="n">
        <x:f>'Inputs'!$B$6+Q10+D10*'Inputs'!$B$13</x:f>
        <x:v>24</x:v>
      </x:c>
      <x:c r="S10" s="32" t="n">
        <x:f>IF(C10&gt;='Inputs'!$B$32,'Case Inputs'!$L$3,0)</x:f>
        <x:v>50</x:v>
      </x:c>
      <x:c r="T10" s="32" t="n">
        <x:f>(M10+O10)*'Inputs'!$B$17+(K10*'Inputs'!$B$28+N10*'Inputs'!$B$29)*'Inputs'!$B$18+O10*'Inputs'!$B$19</x:f>
        <x:v>0</x:v>
      </x:c>
      <x:c r="U10" s="34" t="n">
        <x:f>SUM(R10:T10)</x:f>
        <x:v>74</x:v>
      </x:c>
      <x:c r="V10" s="34" t="n">
        <x:f>P10-U10</x:f>
        <x:v>-34</x:v>
      </x:c>
      <x:c r="W10" s="28" t="n">
        <x:f>IF(P10=0,"",V10/P10)</x:f>
        <x:v>-0.85</x:v>
      </x:c>
      <x:c r="X10" s="32" t="n">
        <x:f>'Inputs'!$B$21</x:f>
        <x:v>100</x:v>
      </x:c>
      <x:c r="Y10" s="32" t="n">
        <x:f>IF(OR(MONTH(B10)&gt;=9,MONTH(B10)&lt;=4),'Case Inputs'!$N$3,'Case Inputs'!$O$3)</x:f>
        <x:v>50</x:v>
      </x:c>
      <x:c r="Z10" s="32" t="n">
        <x:f>IF(C10&gt;='Inputs'!$B$32,'Case Inputs'!$P$3,0)</x:f>
        <x:v>200</x:v>
      </x:c>
      <x:c r="AA10" s="32" t="n">
        <x:f>IF(C10=1,'Case Inputs'!$M$3*'Inputs'!$B$30,IF(C10=2,'Case Inputs'!$M$3*'Inputs'!$B$31,0))</x:f>
        <x:v>0</x:v>
      </x:c>
      <x:c r="AB10" s="34" t="n">
        <x:f>V10-SUM(X10:AA10)</x:f>
        <x:v>-384</x:v>
      </x:c>
      <x:c r="AC10" s="32" t="n">
        <x:f>IF(C10&gt;'Inputs'!$B$24,INDEX($I$2:$I$25,MAX(1,C10-'Inputs'!$B$24)),0)+IF(C10&gt;'Inputs'!$B$25,INDEX($J$2:$J$25,MAX(1,C10-'Inputs'!$B$25)),0)+M10+O10</x:f>
        <x:v>448</x:v>
      </x:c>
      <x:c r="AD10" s="34" t="n">
        <x:f>U10+SUM(X10:AA10)</x:f>
        <x:v>424</x:v>
      </x:c>
      <x:c r="AE10" s="34" t="n">
        <x:f>AC10-AD10</x:f>
        <x:v>24</x:v>
      </x:c>
      <x:c r="AF10" s="34" t="n">
        <x:f>SUM($AE$2:AE10)</x:f>
        <x:v>-3240.6499999999996</x:v>
      </x:c>
      <x:c r="AG10" s="32" t="n">
        <x:f>'Inputs'!$B$22*'Inputs'!$B$23</x:f>
        <x:v>4000</x:v>
      </x:c>
      <x:c r="AH10" s="34" t="n">
        <x:f>AB10-AG10</x:f>
        <x:v>-4384</x:v>
      </x:c>
    </x:row>
    <x:row r="11" ht="32" customHeight="1">
      <x:c r="A11" s="4" t="str">
        <x:v>Base</x:v>
      </x:c>
      <x:c r="B11" s="22" t="n">
        <x:v>46539</x:v>
      </x:c>
      <x:c r="C11" s="4" t="n">
        <x:v>10</x:v>
      </x:c>
      <x:c r="D11" s="24" t="n">
        <x:v>2000</x:v>
      </x:c>
      <x:c r="E11" s="30" t="n">
        <x:f>D11*'Inputs'!$B$2*'Inputs'!$B$3</x:f>
        <x:v>11000</x:v>
      </x:c>
      <x:c r="F11" s="30" t="n">
        <x:f>E11*'Inputs'!$B$4</x:f>
        <x:v>88000</x:v>
      </x:c>
      <x:c r="G11" s="30" t="n">
        <x:f>E11*'Inputs'!$B$5/'Inputs'!$B$26</x:f>
        <x:v>3.8499999999999996</x:v>
      </x:c>
      <x:c r="H11" s="30" t="n">
        <x:f>IF(C11&gt;='Case Inputs'!$G$3,D11*'Case Inputs'!$B$3,0)</x:f>
        <x:v>50</x:v>
      </x:c>
      <x:c r="I11" s="32" t="n">
        <x:f>H11*'Case Inputs'!$C$3*'Case Inputs'!$D$3*'Case Inputs'!$E$3</x:f>
        <x:v>20</x:v>
      </x:c>
      <x:c r="J11" s="32" t="n">
        <x:f>IF(AND(C11&gt;='Case Inputs'!$F$3,D11&gt;='Inputs'!$B$16),E11*'Inputs'!$B$14*'Inputs'!$B$15/'Inputs'!$B$27,0)</x:f>
        <x:v>0</x:v>
      </x:c>
      <x:c r="K11" s="24" t="n">
        <x:v>0</x:v>
      </x:c>
      <x:c r="L11" s="32" t="n">
        <x:f>IF(C11&lt;='Inputs'!$B$33,'Case Inputs'!$J$3,'Case Inputs'!$K$3)</x:f>
        <x:v>150</x:v>
      </x:c>
      <x:c r="M11" s="34" t="n">
        <x:f>K11*L11</x:f>
        <x:v>0</x:v>
      </x:c>
      <x:c r="N11" s="25" t="n">
        <x:f>IF(C11&gt;='Case Inputs'!$H$3,D11*'Case Inputs'!$I$3,0)</x:f>
        <x:v>0</x:v>
      </x:c>
      <x:c r="O11" s="32" t="n">
        <x:f>N11*'Inputs'!$B$20</x:f>
        <x:v>0</x:v>
      </x:c>
      <x:c r="P11" s="34" t="n">
        <x:f>SUM(I11:J11)+M11+O11</x:f>
        <x:v>20</x:v>
      </x:c>
      <x:c r="Q11" s="32" t="n">
        <x:f>IF(F11&lt;='Inputs'!$B$7,0,IF(F11&lt;='Inputs'!$B$8,'Inputs'!$B$10,IF(F11&lt;='Inputs'!$B$9,'Inputs'!$B$11,'Inputs'!$B$12)))</x:f>
        <x:v>0</x:v>
      </x:c>
      <x:c r="R11" s="32" t="n">
        <x:f>'Inputs'!$B$6+Q11+D11*'Inputs'!$B$13</x:f>
        <x:v>22</x:v>
      </x:c>
      <x:c r="S11" s="32" t="n">
        <x:f>IF(C11&gt;='Inputs'!$B$32,'Case Inputs'!$L$3,0)</x:f>
        <x:v>50</x:v>
      </x:c>
      <x:c r="T11" s="32" t="n">
        <x:f>(M11+O11)*'Inputs'!$B$17+(K11*'Inputs'!$B$28+N11*'Inputs'!$B$29)*'Inputs'!$B$18+O11*'Inputs'!$B$19</x:f>
        <x:v>0</x:v>
      </x:c>
      <x:c r="U11" s="34" t="n">
        <x:f>SUM(R11:T11)</x:f>
        <x:v>72</x:v>
      </x:c>
      <x:c r="V11" s="34" t="n">
        <x:f>P11-U11</x:f>
        <x:v>-52</x:v>
      </x:c>
      <x:c r="W11" s="28" t="n">
        <x:f>IF(P11=0,"",V11/P11)</x:f>
        <x:v>-2.6</x:v>
      </x:c>
      <x:c r="X11" s="32" t="n">
        <x:f>'Inputs'!$B$21</x:f>
        <x:v>100</x:v>
      </x:c>
      <x:c r="Y11" s="32" t="n">
        <x:f>IF(OR(MONTH(B11)&gt;=9,MONTH(B11)&lt;=4),'Case Inputs'!$N$3,'Case Inputs'!$O$3)</x:f>
        <x:v>50</x:v>
      </x:c>
      <x:c r="Z11" s="32" t="n">
        <x:f>IF(C11&gt;='Inputs'!$B$32,'Case Inputs'!$P$3,0)</x:f>
        <x:v>200</x:v>
      </x:c>
      <x:c r="AA11" s="32" t="n">
        <x:f>IF(C11=1,'Case Inputs'!$M$3*'Inputs'!$B$30,IF(C11=2,'Case Inputs'!$M$3*'Inputs'!$B$31,0))</x:f>
        <x:v>0</x:v>
      </x:c>
      <x:c r="AB11" s="34" t="n">
        <x:f>V11-SUM(X11:AA11)</x:f>
        <x:v>-402</x:v>
      </x:c>
      <x:c r="AC11" s="32" t="n">
        <x:f>IF(C11&gt;'Inputs'!$B$24,INDEX($I$2:$I$25,MAX(1,C11-'Inputs'!$B$24)),0)+IF(C11&gt;'Inputs'!$B$25,INDEX($J$2:$J$25,MAX(1,C11-'Inputs'!$B$25)),0)+M11+O11</x:f>
        <x:v>120</x:v>
      </x:c>
      <x:c r="AD11" s="34" t="n">
        <x:f>U11+SUM(X11:AA11)</x:f>
        <x:v>422</x:v>
      </x:c>
      <x:c r="AE11" s="34" t="n">
        <x:f>AC11-AD11</x:f>
        <x:v>-302</x:v>
      </x:c>
      <x:c r="AF11" s="34" t="n">
        <x:f>SUM($AE$2:AE11)</x:f>
        <x:v>-3542.6499999999996</x:v>
      </x:c>
      <x:c r="AG11" s="32" t="n">
        <x:f>'Inputs'!$B$22*'Inputs'!$B$23</x:f>
        <x:v>4000</x:v>
      </x:c>
      <x:c r="AH11" s="34" t="n">
        <x:f>AB11-AG11</x:f>
        <x:v>-4402</x:v>
      </x:c>
    </x:row>
    <x:row r="12" ht="32" customHeight="1">
      <x:c r="A12" s="4" t="str">
        <x:v>Base</x:v>
      </x:c>
      <x:c r="B12" s="22" t="n">
        <x:v>46569</x:v>
      </x:c>
      <x:c r="C12" s="4" t="n">
        <x:v>11</x:v>
      </x:c>
      <x:c r="D12" s="24" t="n">
        <x:v>2000</x:v>
      </x:c>
      <x:c r="E12" s="30" t="n">
        <x:f>D12*'Inputs'!$B$2*'Inputs'!$B$3</x:f>
        <x:v>11000</x:v>
      </x:c>
      <x:c r="F12" s="30" t="n">
        <x:f>E12*'Inputs'!$B$4</x:f>
        <x:v>88000</x:v>
      </x:c>
      <x:c r="G12" s="30" t="n">
        <x:f>E12*'Inputs'!$B$5/'Inputs'!$B$26</x:f>
        <x:v>3.8499999999999996</x:v>
      </x:c>
      <x:c r="H12" s="30" t="n">
        <x:f>IF(C12&gt;='Case Inputs'!$G$3,D12*'Case Inputs'!$B$3,0)</x:f>
        <x:v>50</x:v>
      </x:c>
      <x:c r="I12" s="32" t="n">
        <x:f>H12*'Case Inputs'!$C$3*'Case Inputs'!$D$3*'Case Inputs'!$E$3</x:f>
        <x:v>20</x:v>
      </x:c>
      <x:c r="J12" s="32" t="n">
        <x:f>IF(AND(C12&gt;='Case Inputs'!$F$3,D12&gt;='Inputs'!$B$16),E12*'Inputs'!$B$14*'Inputs'!$B$15/'Inputs'!$B$27,0)</x:f>
        <x:v>0</x:v>
      </x:c>
      <x:c r="K12" s="24" t="n">
        <x:v>0</x:v>
      </x:c>
      <x:c r="L12" s="32" t="n">
        <x:f>IF(C12&lt;='Inputs'!$B$33,'Case Inputs'!$J$3,'Case Inputs'!$K$3)</x:f>
        <x:v>150</x:v>
      </x:c>
      <x:c r="M12" s="34" t="n">
        <x:f>K12*L12</x:f>
        <x:v>0</x:v>
      </x:c>
      <x:c r="N12" s="25" t="n">
        <x:f>IF(C12&gt;='Case Inputs'!$H$3,D12*'Case Inputs'!$I$3,0)</x:f>
        <x:v>0</x:v>
      </x:c>
      <x:c r="O12" s="32" t="n">
        <x:f>N12*'Inputs'!$B$20</x:f>
        <x:v>0</x:v>
      </x:c>
      <x:c r="P12" s="34" t="n">
        <x:f>SUM(I12:J12)+M12+O12</x:f>
        <x:v>20</x:v>
      </x:c>
      <x:c r="Q12" s="32" t="n">
        <x:f>IF(F12&lt;='Inputs'!$B$7,0,IF(F12&lt;='Inputs'!$B$8,'Inputs'!$B$10,IF(F12&lt;='Inputs'!$B$9,'Inputs'!$B$11,'Inputs'!$B$12)))</x:f>
        <x:v>0</x:v>
      </x:c>
      <x:c r="R12" s="32" t="n">
        <x:f>'Inputs'!$B$6+Q12+D12*'Inputs'!$B$13</x:f>
        <x:v>22</x:v>
      </x:c>
      <x:c r="S12" s="32" t="n">
        <x:f>IF(C12&gt;='Inputs'!$B$32,'Case Inputs'!$L$3,0)</x:f>
        <x:v>50</x:v>
      </x:c>
      <x:c r="T12" s="32" t="n">
        <x:f>(M12+O12)*'Inputs'!$B$17+(K12*'Inputs'!$B$28+N12*'Inputs'!$B$29)*'Inputs'!$B$18+O12*'Inputs'!$B$19</x:f>
        <x:v>0</x:v>
      </x:c>
      <x:c r="U12" s="34" t="n">
        <x:f>SUM(R12:T12)</x:f>
        <x:v>72</x:v>
      </x:c>
      <x:c r="V12" s="34" t="n">
        <x:f>P12-U12</x:f>
        <x:v>-52</x:v>
      </x:c>
      <x:c r="W12" s="28" t="n">
        <x:f>IF(P12=0,"",V12/P12)</x:f>
        <x:v>-2.6</x:v>
      </x:c>
      <x:c r="X12" s="32" t="n">
        <x:f>'Inputs'!$B$21</x:f>
        <x:v>100</x:v>
      </x:c>
      <x:c r="Y12" s="32" t="n">
        <x:f>IF(OR(MONTH(B12)&gt;=9,MONTH(B12)&lt;=4),'Case Inputs'!$N$3,'Case Inputs'!$O$3)</x:f>
        <x:v>50</x:v>
      </x:c>
      <x:c r="Z12" s="32" t="n">
        <x:f>IF(C12&gt;='Inputs'!$B$32,'Case Inputs'!$P$3,0)</x:f>
        <x:v>200</x:v>
      </x:c>
      <x:c r="AA12" s="32" t="n">
        <x:f>IF(C12=1,'Case Inputs'!$M$3*'Inputs'!$B$30,IF(C12=2,'Case Inputs'!$M$3*'Inputs'!$B$31,0))</x:f>
        <x:v>0</x:v>
      </x:c>
      <x:c r="AB12" s="34" t="n">
        <x:f>V12-SUM(X12:AA12)</x:f>
        <x:v>-402</x:v>
      </x:c>
      <x:c r="AC12" s="32" t="n">
        <x:f>IF(C12&gt;'Inputs'!$B$24,INDEX($I$2:$I$25,MAX(1,C12-'Inputs'!$B$24)),0)+IF(C12&gt;'Inputs'!$B$25,INDEX($J$2:$J$25,MAX(1,C12-'Inputs'!$B$25)),0)+M12+O12</x:f>
        <x:v>40</x:v>
      </x:c>
      <x:c r="AD12" s="34" t="n">
        <x:f>U12+SUM(X12:AA12)</x:f>
        <x:v>422</x:v>
      </x:c>
      <x:c r="AE12" s="34" t="n">
        <x:f>AC12-AD12</x:f>
        <x:v>-382</x:v>
      </x:c>
      <x:c r="AF12" s="34" t="n">
        <x:f>SUM($AE$2:AE12)</x:f>
        <x:v>-3924.6499999999996</x:v>
      </x:c>
      <x:c r="AG12" s="32" t="n">
        <x:f>'Inputs'!$B$22*'Inputs'!$B$23</x:f>
        <x:v>4000</x:v>
      </x:c>
      <x:c r="AH12" s="34" t="n">
        <x:f>AB12-AG12</x:f>
        <x:v>-4402</x:v>
      </x:c>
    </x:row>
    <x:row r="13" ht="32" customHeight="1">
      <x:c r="A13" s="4" t="str">
        <x:v>Base</x:v>
      </x:c>
      <x:c r="B13" s="22" t="n">
        <x:v>46600</x:v>
      </x:c>
      <x:c r="C13" s="4" t="n">
        <x:v>12</x:v>
      </x:c>
      <x:c r="D13" s="24" t="n">
        <x:v>3500</x:v>
      </x:c>
      <x:c r="E13" s="30" t="n">
        <x:f>D13*'Inputs'!$B$2*'Inputs'!$B$3</x:f>
        <x:v>19250</x:v>
      </x:c>
      <x:c r="F13" s="30" t="n">
        <x:f>E13*'Inputs'!$B$4</x:f>
        <x:v>154000</x:v>
      </x:c>
      <x:c r="G13" s="30" t="n">
        <x:f>E13*'Inputs'!$B$5/'Inputs'!$B$26</x:f>
        <x:v>6.7375</x:v>
      </x:c>
      <x:c r="H13" s="30" t="n">
        <x:f>IF(C13&gt;='Case Inputs'!$G$3,D13*'Case Inputs'!$B$3,0)</x:f>
        <x:v>87.5</x:v>
      </x:c>
      <x:c r="I13" s="32" t="n">
        <x:f>H13*'Case Inputs'!$C$3*'Case Inputs'!$D$3*'Case Inputs'!$E$3</x:f>
        <x:v>35</x:v>
      </x:c>
      <x:c r="J13" s="32" t="n">
        <x:f>IF(AND(C13&gt;='Case Inputs'!$F$3,D13&gt;='Inputs'!$B$16),E13*'Inputs'!$B$14*'Inputs'!$B$15/'Inputs'!$B$27,0)</x:f>
        <x:v>0</x:v>
      </x:c>
      <x:c r="K13" s="24" t="n">
        <x:v>0</x:v>
      </x:c>
      <x:c r="L13" s="32" t="n">
        <x:f>IF(C13&lt;='Inputs'!$B$33,'Case Inputs'!$J$3,'Case Inputs'!$K$3)</x:f>
        <x:v>150</x:v>
      </x:c>
      <x:c r="M13" s="34" t="n">
        <x:f>K13*L13</x:f>
        <x:v>0</x:v>
      </x:c>
      <x:c r="N13" s="25" t="n">
        <x:f>IF(C13&gt;='Case Inputs'!$H$3,D13*'Case Inputs'!$I$3,0)</x:f>
        <x:v>0</x:v>
      </x:c>
      <x:c r="O13" s="32" t="n">
        <x:f>N13*'Inputs'!$B$20</x:f>
        <x:v>0</x:v>
      </x:c>
      <x:c r="P13" s="34" t="n">
        <x:f>SUM(I13:J13)+M13+O13</x:f>
        <x:v>35</x:v>
      </x:c>
      <x:c r="Q13" s="32" t="n">
        <x:f>IF(F13&lt;='Inputs'!$B$7,0,IF(F13&lt;='Inputs'!$B$8,'Inputs'!$B$10,IF(F13&lt;='Inputs'!$B$9,'Inputs'!$B$11,'Inputs'!$B$12)))</x:f>
        <x:v>0</x:v>
      </x:c>
      <x:c r="R13" s="32" t="n">
        <x:f>'Inputs'!$B$6+Q13+D13*'Inputs'!$B$13</x:f>
        <x:v>23.5</x:v>
      </x:c>
      <x:c r="S13" s="32" t="n">
        <x:f>IF(C13&gt;='Inputs'!$B$32,'Case Inputs'!$L$3,0)</x:f>
        <x:v>50</x:v>
      </x:c>
      <x:c r="T13" s="32" t="n">
        <x:f>(M13+O13)*'Inputs'!$B$17+(K13*'Inputs'!$B$28+N13*'Inputs'!$B$29)*'Inputs'!$B$18+O13*'Inputs'!$B$19</x:f>
        <x:v>0</x:v>
      </x:c>
      <x:c r="U13" s="34" t="n">
        <x:f>SUM(R13:T13)</x:f>
        <x:v>73.5</x:v>
      </x:c>
      <x:c r="V13" s="34" t="n">
        <x:f>P13-U13</x:f>
        <x:v>-38.5</x:v>
      </x:c>
      <x:c r="W13" s="28" t="n">
        <x:f>IF(P13=0,"",V13/P13)</x:f>
        <x:v>-1.1</x:v>
      </x:c>
      <x:c r="X13" s="32" t="n">
        <x:f>'Inputs'!$B$21</x:f>
        <x:v>100</x:v>
      </x:c>
      <x:c r="Y13" s="32" t="n">
        <x:f>IF(OR(MONTH(B13)&gt;=9,MONTH(B13)&lt;=4),'Case Inputs'!$N$3,'Case Inputs'!$O$3)</x:f>
        <x:v>50</x:v>
      </x:c>
      <x:c r="Z13" s="32" t="n">
        <x:f>IF(C13&gt;='Inputs'!$B$32,'Case Inputs'!$P$3,0)</x:f>
        <x:v>200</x:v>
      </x:c>
      <x:c r="AA13" s="32" t="n">
        <x:f>IF(C13=1,'Case Inputs'!$M$3*'Inputs'!$B$30,IF(C13=2,'Case Inputs'!$M$3*'Inputs'!$B$31,0))</x:f>
        <x:v>0</x:v>
      </x:c>
      <x:c r="AB13" s="34" t="n">
        <x:f>V13-SUM(X13:AA13)</x:f>
        <x:v>-388.5</x:v>
      </x:c>
      <x:c r="AC13" s="32" t="n">
        <x:f>IF(C13&gt;'Inputs'!$B$24,INDEX($I$2:$I$25,MAX(1,C13-'Inputs'!$B$24)),0)+IF(C13&gt;'Inputs'!$B$25,INDEX($J$2:$J$25,MAX(1,C13-'Inputs'!$B$25)),0)+M13+O13</x:f>
        <x:v>20</x:v>
      </x:c>
      <x:c r="AD13" s="34" t="n">
        <x:f>U13+SUM(X13:AA13)</x:f>
        <x:v>423.5</x:v>
      </x:c>
      <x:c r="AE13" s="34" t="n">
        <x:f>AC13-AD13</x:f>
        <x:v>-403.5</x:v>
      </x:c>
      <x:c r="AF13" s="34" t="n">
        <x:f>SUM($AE$2:AE13)</x:f>
        <x:v>-4328.15</x:v>
      </x:c>
      <x:c r="AG13" s="32" t="n">
        <x:f>'Inputs'!$B$22*'Inputs'!$B$23</x:f>
        <x:v>4000</x:v>
      </x:c>
      <x:c r="AH13" s="34" t="n">
        <x:f>AB13-AG13</x:f>
        <x:v>-4388.5</x:v>
      </x:c>
    </x:row>
    <x:row r="14" ht="32" customHeight="1">
      <x:c r="A14" s="4" t="str">
        <x:v>Base</x:v>
      </x:c>
      <x:c r="B14" s="22" t="n">
        <x:v>46631</x:v>
      </x:c>
      <x:c r="C14" s="4" t="n">
        <x:v>13</x:v>
      </x:c>
      <x:c r="D14" s="24" t="n">
        <x:v>10000</x:v>
      </x:c>
      <x:c r="E14" s="30" t="n">
        <x:f>D14*'Inputs'!$B$2*'Inputs'!$B$3</x:f>
        <x:v>55000.00000000001</x:v>
      </x:c>
      <x:c r="F14" s="30" t="n">
        <x:f>E14*'Inputs'!$B$4</x:f>
        <x:v>440000.00000000006</x:v>
      </x:c>
      <x:c r="G14" s="30" t="n">
        <x:f>E14*'Inputs'!$B$5/'Inputs'!$B$26</x:f>
        <x:v>19.25</x:v>
      </x:c>
      <x:c r="H14" s="30" t="n">
        <x:f>IF(C14&gt;='Case Inputs'!$G$3,D14*'Case Inputs'!$B$3,0)</x:f>
        <x:v>250</x:v>
      </x:c>
      <x:c r="I14" s="32" t="n">
        <x:f>H14*'Case Inputs'!$C$3*'Case Inputs'!$D$3*'Case Inputs'!$E$3</x:f>
        <x:v>100</x:v>
      </x:c>
      <x:c r="J14" s="32" t="n">
        <x:f>IF(AND(C14&gt;='Case Inputs'!$F$3,D14&gt;='Inputs'!$B$16),E14*'Inputs'!$B$14*'Inputs'!$B$15/'Inputs'!$B$27,0)</x:f>
        <x:v>165</x:v>
      </x:c>
      <x:c r="K14" s="24" t="n">
        <x:v>1</x:v>
      </x:c>
      <x:c r="L14" s="32" t="n">
        <x:f>IF(C14&lt;='Inputs'!$B$33,'Case Inputs'!$J$3,'Case Inputs'!$K$3)</x:f>
        <x:v>250</x:v>
      </x:c>
      <x:c r="M14" s="34" t="n">
        <x:f>K14*L14</x:f>
        <x:v>250</x:v>
      </x:c>
      <x:c r="N14" s="25" t="n">
        <x:f>IF(C14&gt;='Case Inputs'!$H$3,D14*'Case Inputs'!$I$3,0)</x:f>
        <x:v>0</x:v>
      </x:c>
      <x:c r="O14" s="32" t="n">
        <x:f>N14*'Inputs'!$B$20</x:f>
        <x:v>0</x:v>
      </x:c>
      <x:c r="P14" s="34" t="n">
        <x:f>SUM(I14:J14)+M14+O14</x:f>
        <x:v>515</x:v>
      </x:c>
      <x:c r="Q14" s="32" t="n">
        <x:f>IF(F14&lt;='Inputs'!$B$7,0,IF(F14&lt;='Inputs'!$B$8,'Inputs'!$B$10,IF(F14&lt;='Inputs'!$B$9,'Inputs'!$B$11,'Inputs'!$B$12)))</x:f>
        <x:v>0</x:v>
      </x:c>
      <x:c r="R14" s="32" t="n">
        <x:f>'Inputs'!$B$6+Q14+D14*'Inputs'!$B$13</x:f>
        <x:v>30</x:v>
      </x:c>
      <x:c r="S14" s="32" t="n">
        <x:f>IF(C14&gt;='Inputs'!$B$32,'Case Inputs'!$L$3,0)</x:f>
        <x:v>50</x:v>
      </x:c>
      <x:c r="T14" s="32" t="n">
        <x:f>(M14+O14)*'Inputs'!$B$17+(K14*'Inputs'!$B$28+N14*'Inputs'!$B$29)*'Inputs'!$B$18+O14*'Inputs'!$B$19</x:f>
        <x:v>7.55</x:v>
      </x:c>
      <x:c r="U14" s="34" t="n">
        <x:f>SUM(R14:T14)</x:f>
        <x:v>87.55</x:v>
      </x:c>
      <x:c r="V14" s="34" t="n">
        <x:f>P14-U14</x:f>
        <x:v>427.45</x:v>
      </x:c>
      <x:c r="W14" s="28" t="n">
        <x:f>IF(P14=0,"",V14/P14)</x:f>
        <x:v>0.83</x:v>
      </x:c>
      <x:c r="X14" s="32" t="n">
        <x:f>'Inputs'!$B$21</x:f>
        <x:v>100</x:v>
      </x:c>
      <x:c r="Y14" s="32" t="n">
        <x:f>IF(OR(MONTH(B14)&gt;=9,MONTH(B14)&lt;=4),'Case Inputs'!$N$3,'Case Inputs'!$O$3)</x:f>
        <x:v>300</x:v>
      </x:c>
      <x:c r="Z14" s="32" t="n">
        <x:f>IF(C14&gt;='Inputs'!$B$32,'Case Inputs'!$P$3,0)</x:f>
        <x:v>200</x:v>
      </x:c>
      <x:c r="AA14" s="32" t="n">
        <x:f>IF(C14=1,'Case Inputs'!$M$3*'Inputs'!$B$30,IF(C14=2,'Case Inputs'!$M$3*'Inputs'!$B$31,0))</x:f>
        <x:v>0</x:v>
      </x:c>
      <x:c r="AB14" s="34" t="n">
        <x:f>V14-SUM(X14:AA14)</x:f>
        <x:v>-172.55</x:v>
      </x:c>
      <x:c r="AC14" s="32" t="n">
        <x:f>IF(C14&gt;'Inputs'!$B$24,INDEX($I$2:$I$25,MAX(1,C14-'Inputs'!$B$24)),0)+IF(C14&gt;'Inputs'!$B$25,INDEX($J$2:$J$25,MAX(1,C14-'Inputs'!$B$25)),0)+M14+O14</x:f>
        <x:v>270</x:v>
      </x:c>
      <x:c r="AD14" s="34" t="n">
        <x:f>U14+SUM(X14:AA14)</x:f>
        <x:v>687.55</x:v>
      </x:c>
      <x:c r="AE14" s="34" t="n">
        <x:f>AC14-AD14</x:f>
        <x:v>-417.54999999999995</x:v>
      </x:c>
      <x:c r="AF14" s="34" t="n">
        <x:f>SUM($AE$2:AE14)</x:f>
        <x:v>-4745.7</x:v>
      </x:c>
      <x:c r="AG14" s="32" t="n">
        <x:f>'Inputs'!$B$22*'Inputs'!$B$23</x:f>
        <x:v>4000</x:v>
      </x:c>
      <x:c r="AH14" s="34" t="n">
        <x:f>AB14-AG14</x:f>
        <x:v>-4172.55</x:v>
      </x:c>
    </x:row>
    <x:row r="15" ht="32" customHeight="1">
      <x:c r="A15" s="4" t="str">
        <x:v>Base</x:v>
      </x:c>
      <x:c r="B15" s="22" t="n">
        <x:v>46661</x:v>
      </x:c>
      <x:c r="C15" s="4" t="n">
        <x:v>14</x:v>
      </x:c>
      <x:c r="D15" s="24" t="n">
        <x:v>25000</x:v>
      </x:c>
      <x:c r="E15" s="30" t="n">
        <x:f>D15*'Inputs'!$B$2*'Inputs'!$B$3</x:f>
        <x:v>137500</x:v>
      </x:c>
      <x:c r="F15" s="30" t="n">
        <x:f>E15*'Inputs'!$B$4</x:f>
        <x:v>1100000</x:v>
      </x:c>
      <x:c r="G15" s="30" t="n">
        <x:f>E15*'Inputs'!$B$5/'Inputs'!$B$26</x:f>
        <x:v>48.125</x:v>
      </x:c>
      <x:c r="H15" s="30" t="n">
        <x:f>IF(C15&gt;='Case Inputs'!$G$3,D15*'Case Inputs'!$B$3,0)</x:f>
        <x:v>625</x:v>
      </x:c>
      <x:c r="I15" s="32" t="n">
        <x:f>H15*'Case Inputs'!$C$3*'Case Inputs'!$D$3*'Case Inputs'!$E$3</x:f>
        <x:v>250</x:v>
      </x:c>
      <x:c r="J15" s="32" t="n">
        <x:f>IF(AND(C15&gt;='Case Inputs'!$F$3,D15&gt;='Inputs'!$B$16),E15*'Inputs'!$B$14*'Inputs'!$B$15/'Inputs'!$B$27,0)</x:f>
        <x:v>412.5</x:v>
      </x:c>
      <x:c r="K15" s="24" t="n">
        <x:v>2</x:v>
      </x:c>
      <x:c r="L15" s="32" t="n">
        <x:f>IF(C15&lt;='Inputs'!$B$33,'Case Inputs'!$J$3,'Case Inputs'!$K$3)</x:f>
        <x:v>250</x:v>
      </x:c>
      <x:c r="M15" s="34" t="n">
        <x:f>K15*L15</x:f>
        <x:v>500</x:v>
      </x:c>
      <x:c r="N15" s="25" t="n">
        <x:f>IF(C15&gt;='Case Inputs'!$H$3,D15*'Case Inputs'!$I$3,0)</x:f>
        <x:v>0</x:v>
      </x:c>
      <x:c r="O15" s="32" t="n">
        <x:f>N15*'Inputs'!$B$20</x:f>
        <x:v>0</x:v>
      </x:c>
      <x:c r="P15" s="34" t="n">
        <x:f>SUM(I15:J15)+M15+O15</x:f>
        <x:v>1162.5</x:v>
      </x:c>
      <x:c r="Q15" s="32" t="n">
        <x:f>IF(F15&lt;='Inputs'!$B$7,0,IF(F15&lt;='Inputs'!$B$8,'Inputs'!$B$10,IF(F15&lt;='Inputs'!$B$9,'Inputs'!$B$11,'Inputs'!$B$12)))</x:f>
        <x:v>20</x:v>
      </x:c>
      <x:c r="R15" s="32" t="n">
        <x:f>'Inputs'!$B$6+Q15+D15*'Inputs'!$B$13</x:f>
        <x:v>65</x:v>
      </x:c>
      <x:c r="S15" s="32" t="n">
        <x:f>IF(C15&gt;='Inputs'!$B$32,'Case Inputs'!$L$3,0)</x:f>
        <x:v>50</x:v>
      </x:c>
      <x:c r="T15" s="32" t="n">
        <x:f>(M15+O15)*'Inputs'!$B$17+(K15*'Inputs'!$B$28+N15*'Inputs'!$B$29)*'Inputs'!$B$18+O15*'Inputs'!$B$19</x:f>
        <x:v>15.1</x:v>
      </x:c>
      <x:c r="U15" s="34" t="n">
        <x:f>SUM(R15:T15)</x:f>
        <x:v>130.1</x:v>
      </x:c>
      <x:c r="V15" s="34" t="n">
        <x:f>P15-U15</x:f>
        <x:v>1032.4</x:v>
      </x:c>
      <x:c r="W15" s="28" t="n">
        <x:f>IF(P15=0,"",V15/P15)</x:f>
        <x:v>0.8880860215053764</x:v>
      </x:c>
      <x:c r="X15" s="32" t="n">
        <x:f>'Inputs'!$B$21</x:f>
        <x:v>100</x:v>
      </x:c>
      <x:c r="Y15" s="32" t="n">
        <x:f>IF(OR(MONTH(B15)&gt;=9,MONTH(B15)&lt;=4),'Case Inputs'!$N$3,'Case Inputs'!$O$3)</x:f>
        <x:v>300</x:v>
      </x:c>
      <x:c r="Z15" s="32" t="n">
        <x:f>IF(C15&gt;='Inputs'!$B$32,'Case Inputs'!$P$3,0)</x:f>
        <x:v>200</x:v>
      </x:c>
      <x:c r="AA15" s="32" t="n">
        <x:f>IF(C15=1,'Case Inputs'!$M$3*'Inputs'!$B$30,IF(C15=2,'Case Inputs'!$M$3*'Inputs'!$B$31,0))</x:f>
        <x:v>0</x:v>
      </x:c>
      <x:c r="AB15" s="34" t="n">
        <x:f>V15-SUM(X15:AA15)</x:f>
        <x:v>432.4000000000001</x:v>
      </x:c>
      <x:c r="AC15" s="32" t="n">
        <x:f>IF(C15&gt;'Inputs'!$B$24,INDEX($I$2:$I$25,MAX(1,C15-'Inputs'!$B$24)),0)+IF(C15&gt;'Inputs'!$B$25,INDEX($J$2:$J$25,MAX(1,C15-'Inputs'!$B$25)),0)+M15+O15</x:f>
        <x:v>700</x:v>
      </x:c>
      <x:c r="AD15" s="34" t="n">
        <x:f>U15+SUM(X15:AA15)</x:f>
        <x:v>730.1</x:v>
      </x:c>
      <x:c r="AE15" s="34" t="n">
        <x:f>AC15-AD15</x:f>
        <x:v>-30.100000000000023</x:v>
      </x:c>
      <x:c r="AF15" s="34" t="n">
        <x:f>SUM($AE$2:AE15)</x:f>
        <x:v>-4775.8</x:v>
      </x:c>
      <x:c r="AG15" s="32" t="n">
        <x:f>'Inputs'!$B$22*'Inputs'!$B$23</x:f>
        <x:v>4000</x:v>
      </x:c>
      <x:c r="AH15" s="34" t="n">
        <x:f>AB15-AG15</x:f>
        <x:v>-3567.6</x:v>
      </x:c>
    </x:row>
    <x:row r="16" ht="32" customHeight="1">
      <x:c r="A16" s="4" t="str">
        <x:v>Base</x:v>
      </x:c>
      <x:c r="B16" s="22" t="n">
        <x:v>46692</x:v>
      </x:c>
      <x:c r="C16" s="4" t="n">
        <x:v>15</x:v>
      </x:c>
      <x:c r="D16" s="24" t="n">
        <x:v>50000</x:v>
      </x:c>
      <x:c r="E16" s="30" t="n">
        <x:f>D16*'Inputs'!$B$2*'Inputs'!$B$3</x:f>
        <x:v>275000</x:v>
      </x:c>
      <x:c r="F16" s="30" t="n">
        <x:f>E16*'Inputs'!$B$4</x:f>
        <x:v>2200000</x:v>
      </x:c>
      <x:c r="G16" s="30" t="n">
        <x:f>E16*'Inputs'!$B$5/'Inputs'!$B$26</x:f>
        <x:v>96.25</x:v>
      </x:c>
      <x:c r="H16" s="30" t="n">
        <x:f>IF(C16&gt;='Case Inputs'!$G$3,D16*'Case Inputs'!$B$3,0)</x:f>
        <x:v>1250</x:v>
      </x:c>
      <x:c r="I16" s="32" t="n">
        <x:f>H16*'Case Inputs'!$C$3*'Case Inputs'!$D$3*'Case Inputs'!$E$3</x:f>
        <x:v>500</x:v>
      </x:c>
      <x:c r="J16" s="32" t="n">
        <x:f>IF(AND(C16&gt;='Case Inputs'!$F$3,D16&gt;='Inputs'!$B$16),E16*'Inputs'!$B$14*'Inputs'!$B$15/'Inputs'!$B$27,0)</x:f>
        <x:v>825</x:v>
      </x:c>
      <x:c r="K16" s="24" t="n">
        <x:v>3</x:v>
      </x:c>
      <x:c r="L16" s="32" t="n">
        <x:f>IF(C16&lt;='Inputs'!$B$33,'Case Inputs'!$J$3,'Case Inputs'!$K$3)</x:f>
        <x:v>250</x:v>
      </x:c>
      <x:c r="M16" s="34" t="n">
        <x:f>K16*L16</x:f>
        <x:v>750</x:v>
      </x:c>
      <x:c r="N16" s="25" t="n">
        <x:f>IF(C16&gt;='Case Inputs'!$H$3,D16*'Case Inputs'!$I$3,0)</x:f>
        <x:v>0</x:v>
      </x:c>
      <x:c r="O16" s="32" t="n">
        <x:f>N16*'Inputs'!$B$20</x:f>
        <x:v>0</x:v>
      </x:c>
      <x:c r="P16" s="34" t="n">
        <x:f>SUM(I16:J16)+M16+O16</x:f>
        <x:v>2075</x:v>
      </x:c>
      <x:c r="Q16" s="32" t="n">
        <x:f>IF(F16&lt;='Inputs'!$B$7,0,IF(F16&lt;='Inputs'!$B$8,'Inputs'!$B$10,IF(F16&lt;='Inputs'!$B$9,'Inputs'!$B$11,'Inputs'!$B$12)))</x:f>
        <x:v>20</x:v>
      </x:c>
      <x:c r="R16" s="32" t="n">
        <x:f>'Inputs'!$B$6+Q16+D16*'Inputs'!$B$13</x:f>
        <x:v>90</x:v>
      </x:c>
      <x:c r="S16" s="32" t="n">
        <x:f>IF(C16&gt;='Inputs'!$B$32,'Case Inputs'!$L$3,0)</x:f>
        <x:v>50</x:v>
      </x:c>
      <x:c r="T16" s="32" t="n">
        <x:f>(M16+O16)*'Inputs'!$B$17+(K16*'Inputs'!$B$28+N16*'Inputs'!$B$29)*'Inputs'!$B$18+O16*'Inputs'!$B$19</x:f>
        <x:v>22.65</x:v>
      </x:c>
      <x:c r="U16" s="34" t="n">
        <x:f>SUM(R16:T16)</x:f>
        <x:v>162.65</x:v>
      </x:c>
      <x:c r="V16" s="34" t="n">
        <x:f>P16-U16</x:f>
        <x:v>1912.35</x:v>
      </x:c>
      <x:c r="W16" s="28" t="n">
        <x:f>IF(P16=0,"",V16/P16)</x:f>
        <x:v>0.9216144578313252</x:v>
      </x:c>
      <x:c r="X16" s="32" t="n">
        <x:f>'Inputs'!$B$21</x:f>
        <x:v>100</x:v>
      </x:c>
      <x:c r="Y16" s="32" t="n">
        <x:f>IF(OR(MONTH(B16)&gt;=9,MONTH(B16)&lt;=4),'Case Inputs'!$N$3,'Case Inputs'!$O$3)</x:f>
        <x:v>300</x:v>
      </x:c>
      <x:c r="Z16" s="32" t="n">
        <x:f>IF(C16&gt;='Inputs'!$B$32,'Case Inputs'!$P$3,0)</x:f>
        <x:v>200</x:v>
      </x:c>
      <x:c r="AA16" s="32" t="n">
        <x:f>IF(C16=1,'Case Inputs'!$M$3*'Inputs'!$B$30,IF(C16=2,'Case Inputs'!$M$3*'Inputs'!$B$31,0))</x:f>
        <x:v>0</x:v>
      </x:c>
      <x:c r="AB16" s="34" t="n">
        <x:f>V16-SUM(X16:AA16)</x:f>
        <x:v>1312.35</x:v>
      </x:c>
      <x:c r="AC16" s="32" t="n">
        <x:f>IF(C16&gt;'Inputs'!$B$24,INDEX($I$2:$I$25,MAX(1,C16-'Inputs'!$B$24)),0)+IF(C16&gt;'Inputs'!$B$25,INDEX($J$2:$J$25,MAX(1,C16-'Inputs'!$B$25)),0)+M16+O16</x:f>
        <x:v>1262.5</x:v>
      </x:c>
      <x:c r="AD16" s="34" t="n">
        <x:f>U16+SUM(X16:AA16)</x:f>
        <x:v>762.65</x:v>
      </x:c>
      <x:c r="AE16" s="34" t="n">
        <x:f>AC16-AD16</x:f>
        <x:v>499.85</x:v>
      </x:c>
      <x:c r="AF16" s="34" t="n">
        <x:f>SUM($AE$2:AE16)</x:f>
        <x:v>-4275.95</x:v>
      </x:c>
      <x:c r="AG16" s="32" t="n">
        <x:f>'Inputs'!$B$22*'Inputs'!$B$23</x:f>
        <x:v>4000</x:v>
      </x:c>
      <x:c r="AH16" s="34" t="n">
        <x:f>AB16-AG16</x:f>
        <x:v>-2687.65</x:v>
      </x:c>
    </x:row>
    <x:row r="17" ht="32" customHeight="1">
      <x:c r="A17" s="4" t="str">
        <x:v>Base</x:v>
      </x:c>
      <x:c r="B17" s="22" t="n">
        <x:v>46722</x:v>
      </x:c>
      <x:c r="C17" s="4" t="n">
        <x:v>16</x:v>
      </x:c>
      <x:c r="D17" s="24" t="n">
        <x:v>90000</x:v>
      </x:c>
      <x:c r="E17" s="30" t="n">
        <x:f>D17*'Inputs'!$B$2*'Inputs'!$B$3</x:f>
        <x:v>495000.00000000006</x:v>
      </x:c>
      <x:c r="F17" s="30" t="n">
        <x:f>E17*'Inputs'!$B$4</x:f>
        <x:v>3960000.0000000005</x:v>
      </x:c>
      <x:c r="G17" s="30" t="n">
        <x:f>E17*'Inputs'!$B$5/'Inputs'!$B$26</x:f>
        <x:v>173.25</x:v>
      </x:c>
      <x:c r="H17" s="30" t="n">
        <x:f>IF(C17&gt;='Case Inputs'!$G$3,D17*'Case Inputs'!$B$3,0)</x:f>
        <x:v>2250</x:v>
      </x:c>
      <x:c r="I17" s="32" t="n">
        <x:f>H17*'Case Inputs'!$C$3*'Case Inputs'!$D$3*'Case Inputs'!$E$3</x:f>
        <x:v>900</x:v>
      </x:c>
      <x:c r="J17" s="32" t="n">
        <x:f>IF(AND(C17&gt;='Case Inputs'!$F$3,D17&gt;='Inputs'!$B$16),E17*'Inputs'!$B$14*'Inputs'!$B$15/'Inputs'!$B$27,0)</x:f>
        <x:v>1485</x:v>
      </x:c>
      <x:c r="K17" s="24" t="n">
        <x:v>5</x:v>
      </x:c>
      <x:c r="L17" s="32" t="n">
        <x:f>IF(C17&lt;='Inputs'!$B$33,'Case Inputs'!$J$3,'Case Inputs'!$K$3)</x:f>
        <x:v>250</x:v>
      </x:c>
      <x:c r="M17" s="34" t="n">
        <x:f>K17*L17</x:f>
        <x:v>1250</x:v>
      </x:c>
      <x:c r="N17" s="25" t="n">
        <x:f>IF(C17&gt;='Case Inputs'!$H$3,D17*'Case Inputs'!$I$3,0)</x:f>
        <x:v>0</x:v>
      </x:c>
      <x:c r="O17" s="32" t="n">
        <x:f>N17*'Inputs'!$B$20</x:f>
        <x:v>0</x:v>
      </x:c>
      <x:c r="P17" s="34" t="n">
        <x:f>SUM(I17:J17)+M17+O17</x:f>
        <x:v>3635</x:v>
      </x:c>
      <x:c r="Q17" s="32" t="n">
        <x:f>IF(F17&lt;='Inputs'!$B$7,0,IF(F17&lt;='Inputs'!$B$8,'Inputs'!$B$10,IF(F17&lt;='Inputs'!$B$9,'Inputs'!$B$11,'Inputs'!$B$12)))</x:f>
        <x:v>20</x:v>
      </x:c>
      <x:c r="R17" s="32" t="n">
        <x:f>'Inputs'!$B$6+Q17+D17*'Inputs'!$B$13</x:f>
        <x:v>130</x:v>
      </x:c>
      <x:c r="S17" s="32" t="n">
        <x:f>IF(C17&gt;='Inputs'!$B$32,'Case Inputs'!$L$3,0)</x:f>
        <x:v>50</x:v>
      </x:c>
      <x:c r="T17" s="32" t="n">
        <x:f>(M17+O17)*'Inputs'!$B$17+(K17*'Inputs'!$B$28+N17*'Inputs'!$B$29)*'Inputs'!$B$18+O17*'Inputs'!$B$19</x:f>
        <x:v>37.75</x:v>
      </x:c>
      <x:c r="U17" s="34" t="n">
        <x:f>SUM(R17:T17)</x:f>
        <x:v>217.75</x:v>
      </x:c>
      <x:c r="V17" s="34" t="n">
        <x:f>P17-U17</x:f>
        <x:v>3417.25</x:v>
      </x:c>
      <x:c r="W17" s="28" t="n">
        <x:f>IF(P17=0,"",V17/P17)</x:f>
        <x:v>0.9400962861072902</x:v>
      </x:c>
      <x:c r="X17" s="32" t="n">
        <x:f>'Inputs'!$B$21</x:f>
        <x:v>100</x:v>
      </x:c>
      <x:c r="Y17" s="32" t="n">
        <x:f>IF(OR(MONTH(B17)&gt;=9,MONTH(B17)&lt;=4),'Case Inputs'!$N$3,'Case Inputs'!$O$3)</x:f>
        <x:v>300</x:v>
      </x:c>
      <x:c r="Z17" s="32" t="n">
        <x:f>IF(C17&gt;='Inputs'!$B$32,'Case Inputs'!$P$3,0)</x:f>
        <x:v>200</x:v>
      </x:c>
      <x:c r="AA17" s="32" t="n">
        <x:f>IF(C17=1,'Case Inputs'!$M$3*'Inputs'!$B$30,IF(C17=2,'Case Inputs'!$M$3*'Inputs'!$B$31,0))</x:f>
        <x:v>0</x:v>
      </x:c>
      <x:c r="AB17" s="34" t="n">
        <x:f>V17-SUM(X17:AA17)</x:f>
        <x:v>2817.25</x:v>
      </x:c>
      <x:c r="AC17" s="32" t="n">
        <x:f>IF(C17&gt;'Inputs'!$B$24,INDEX($I$2:$I$25,MAX(1,C17-'Inputs'!$B$24)),0)+IF(C17&gt;'Inputs'!$B$25,INDEX($J$2:$J$25,MAX(1,C17-'Inputs'!$B$25)),0)+M17+O17</x:f>
        <x:v>2325</x:v>
      </x:c>
      <x:c r="AD17" s="34" t="n">
        <x:f>U17+SUM(X17:AA17)</x:f>
        <x:v>817.75</x:v>
      </x:c>
      <x:c r="AE17" s="34" t="n">
        <x:f>AC17-AD17</x:f>
        <x:v>1507.25</x:v>
      </x:c>
      <x:c r="AF17" s="34" t="n">
        <x:f>SUM($AE$2:AE17)</x:f>
        <x:v>-2768.7</x:v>
      </x:c>
      <x:c r="AG17" s="32" t="n">
        <x:f>'Inputs'!$B$22*'Inputs'!$B$23</x:f>
        <x:v>4000</x:v>
      </x:c>
      <x:c r="AH17" s="34" t="n">
        <x:f>AB17-AG17</x:f>
        <x:v>-1182.75</x:v>
      </x:c>
    </x:row>
    <x:row r="18" ht="32" customHeight="1">
      <x:c r="A18" s="4" t="str">
        <x:v>Base</x:v>
      </x:c>
      <x:c r="B18" s="22" t="n">
        <x:v>46753</x:v>
      </x:c>
      <x:c r="C18" s="4" t="n">
        <x:v>17</x:v>
      </x:c>
      <x:c r="D18" s="24" t="n">
        <x:v>125000</x:v>
      </x:c>
      <x:c r="E18" s="30" t="n">
        <x:f>D18*'Inputs'!$B$2*'Inputs'!$B$3</x:f>
        <x:v>687500</x:v>
      </x:c>
      <x:c r="F18" s="30" t="n">
        <x:f>E18*'Inputs'!$B$4</x:f>
        <x:v>5500000</x:v>
      </x:c>
      <x:c r="G18" s="30" t="n">
        <x:f>E18*'Inputs'!$B$5/'Inputs'!$B$26</x:f>
        <x:v>240.62499999999997</x:v>
      </x:c>
      <x:c r="H18" s="30" t="n">
        <x:f>IF(C18&gt;='Case Inputs'!$G$3,D18*'Case Inputs'!$B$3,0)</x:f>
        <x:v>3125</x:v>
      </x:c>
      <x:c r="I18" s="32" t="n">
        <x:f>H18*'Case Inputs'!$C$3*'Case Inputs'!$D$3*'Case Inputs'!$E$3</x:f>
        <x:v>1250</x:v>
      </x:c>
      <x:c r="J18" s="32" t="n">
        <x:f>IF(AND(C18&gt;='Case Inputs'!$F$3,D18&gt;='Inputs'!$B$16),E18*'Inputs'!$B$14*'Inputs'!$B$15/'Inputs'!$B$27,0)</x:f>
        <x:v>2062.5</x:v>
      </x:c>
      <x:c r="K18" s="24" t="n">
        <x:v>6</x:v>
      </x:c>
      <x:c r="L18" s="32" t="n">
        <x:f>IF(C18&lt;='Inputs'!$B$33,'Case Inputs'!$J$3,'Case Inputs'!$K$3)</x:f>
        <x:v>250</x:v>
      </x:c>
      <x:c r="M18" s="34" t="n">
        <x:f>K18*L18</x:f>
        <x:v>1500</x:v>
      </x:c>
      <x:c r="N18" s="25" t="n">
        <x:f>IF(C18&gt;='Case Inputs'!$H$3,D18*'Case Inputs'!$I$3,0)</x:f>
        <x:v>0</x:v>
      </x:c>
      <x:c r="O18" s="32" t="n">
        <x:f>N18*'Inputs'!$B$20</x:f>
        <x:v>0</x:v>
      </x:c>
      <x:c r="P18" s="34" t="n">
        <x:f>SUM(I18:J18)+M18+O18</x:f>
        <x:v>4812.5</x:v>
      </x:c>
      <x:c r="Q18" s="32" t="n">
        <x:f>IF(F18&lt;='Inputs'!$B$7,0,IF(F18&lt;='Inputs'!$B$8,'Inputs'!$B$10,IF(F18&lt;='Inputs'!$B$9,'Inputs'!$B$11,'Inputs'!$B$12)))</x:f>
        <x:v>20</x:v>
      </x:c>
      <x:c r="R18" s="32" t="n">
        <x:f>'Inputs'!$B$6+Q18+D18*'Inputs'!$B$13</x:f>
        <x:v>165</x:v>
      </x:c>
      <x:c r="S18" s="32" t="n">
        <x:f>IF(C18&gt;='Inputs'!$B$32,'Case Inputs'!$L$3,0)</x:f>
        <x:v>50</x:v>
      </x:c>
      <x:c r="T18" s="32" t="n">
        <x:f>(M18+O18)*'Inputs'!$B$17+(K18*'Inputs'!$B$28+N18*'Inputs'!$B$29)*'Inputs'!$B$18+O18*'Inputs'!$B$19</x:f>
        <x:v>45.3</x:v>
      </x:c>
      <x:c r="U18" s="34" t="n">
        <x:f>SUM(R18:T18)</x:f>
        <x:v>260.3</x:v>
      </x:c>
      <x:c r="V18" s="34" t="n">
        <x:f>P18-U18</x:f>
        <x:v>4552.2</x:v>
      </x:c>
      <x:c r="W18" s="28" t="n">
        <x:f>IF(P18=0,"",V18/P18)</x:f>
        <x:v>0.9459116883116883</x:v>
      </x:c>
      <x:c r="X18" s="32" t="n">
        <x:f>'Inputs'!$B$21</x:f>
        <x:v>100</x:v>
      </x:c>
      <x:c r="Y18" s="32" t="n">
        <x:f>IF(OR(MONTH(B18)&gt;=9,MONTH(B18)&lt;=4),'Case Inputs'!$N$3,'Case Inputs'!$O$3)</x:f>
        <x:v>300</x:v>
      </x:c>
      <x:c r="Z18" s="32" t="n">
        <x:f>IF(C18&gt;='Inputs'!$B$32,'Case Inputs'!$P$3,0)</x:f>
        <x:v>200</x:v>
      </x:c>
      <x:c r="AA18" s="32" t="n">
        <x:f>IF(C18=1,'Case Inputs'!$M$3*'Inputs'!$B$30,IF(C18=2,'Case Inputs'!$M$3*'Inputs'!$B$31,0))</x:f>
        <x:v>0</x:v>
      </x:c>
      <x:c r="AB18" s="34" t="n">
        <x:f>V18-SUM(X18:AA18)</x:f>
        <x:v>3952.2</x:v>
      </x:c>
      <x:c r="AC18" s="32" t="n">
        <x:f>IF(C18&gt;'Inputs'!$B$24,INDEX($I$2:$I$25,MAX(1,C18-'Inputs'!$B$24)),0)+IF(C18&gt;'Inputs'!$B$25,INDEX($J$2:$J$25,MAX(1,C18-'Inputs'!$B$25)),0)+M18+O18</x:f>
        <x:v>3485</x:v>
      </x:c>
      <x:c r="AD18" s="34" t="n">
        <x:f>U18+SUM(X18:AA18)</x:f>
        <x:v>860.3</x:v>
      </x:c>
      <x:c r="AE18" s="34" t="n">
        <x:f>AC18-AD18</x:f>
        <x:v>2624.7</x:v>
      </x:c>
      <x:c r="AF18" s="34" t="n">
        <x:f>SUM($AE$2:AE18)</x:f>
        <x:v>-144</x:v>
      </x:c>
      <x:c r="AG18" s="32" t="n">
        <x:f>'Inputs'!$B$22*'Inputs'!$B$23</x:f>
        <x:v>4000</x:v>
      </x:c>
      <x:c r="AH18" s="34" t="n">
        <x:f>AB18-AG18</x:f>
        <x:v>-47.80000000000018</x:v>
      </x:c>
    </x:row>
    <x:row r="19" ht="32" customHeight="1">
      <x:c r="A19" s="4" t="str">
        <x:v>Base</x:v>
      </x:c>
      <x:c r="B19" s="22" t="n">
        <x:v>46784</x:v>
      </x:c>
      <x:c r="C19" s="4" t="n">
        <x:v>18</x:v>
      </x:c>
      <x:c r="D19" s="24" t="n">
        <x:v>150000</x:v>
      </x:c>
      <x:c r="E19" s="30" t="n">
        <x:f>D19*'Inputs'!$B$2*'Inputs'!$B$3</x:f>
        <x:v>825000.0000000001</x:v>
      </x:c>
      <x:c r="F19" s="30" t="n">
        <x:f>E19*'Inputs'!$B$4</x:f>
        <x:v>6600000.000000001</x:v>
      </x:c>
      <x:c r="G19" s="30" t="n">
        <x:f>E19*'Inputs'!$B$5/'Inputs'!$B$26</x:f>
        <x:v>288.75</x:v>
      </x:c>
      <x:c r="H19" s="30" t="n">
        <x:f>IF(C19&gt;='Case Inputs'!$G$3,D19*'Case Inputs'!$B$3,0)</x:f>
        <x:v>3750</x:v>
      </x:c>
      <x:c r="I19" s="32" t="n">
        <x:f>H19*'Case Inputs'!$C$3*'Case Inputs'!$D$3*'Case Inputs'!$E$3</x:f>
        <x:v>1500</x:v>
      </x:c>
      <x:c r="J19" s="32" t="n">
        <x:f>IF(AND(C19&gt;='Case Inputs'!$F$3,D19&gt;='Inputs'!$B$16),E19*'Inputs'!$B$14*'Inputs'!$B$15/'Inputs'!$B$27,0)</x:f>
        <x:v>2475.0000000000005</x:v>
      </x:c>
      <x:c r="K19" s="24" t="n">
        <x:v>8</x:v>
      </x:c>
      <x:c r="L19" s="32" t="n">
        <x:f>IF(C19&lt;='Inputs'!$B$33,'Case Inputs'!$J$3,'Case Inputs'!$K$3)</x:f>
        <x:v>250</x:v>
      </x:c>
      <x:c r="M19" s="34" t="n">
        <x:f>K19*L19</x:f>
        <x:v>2000</x:v>
      </x:c>
      <x:c r="N19" s="25" t="n">
        <x:f>IF(C19&gt;='Case Inputs'!$H$3,D19*'Case Inputs'!$I$3,0)</x:f>
        <x:v>0</x:v>
      </x:c>
      <x:c r="O19" s="32" t="n">
        <x:f>N19*'Inputs'!$B$20</x:f>
        <x:v>0</x:v>
      </x:c>
      <x:c r="P19" s="34" t="n">
        <x:f>SUM(I19:J19)+M19+O19</x:f>
        <x:v>5975</x:v>
      </x:c>
      <x:c r="Q19" s="32" t="n">
        <x:f>IF(F19&lt;='Inputs'!$B$7,0,IF(F19&lt;='Inputs'!$B$8,'Inputs'!$B$10,IF(F19&lt;='Inputs'!$B$9,'Inputs'!$B$11,'Inputs'!$B$12)))</x:f>
        <x:v>20</x:v>
      </x:c>
      <x:c r="R19" s="32" t="n">
        <x:f>'Inputs'!$B$6+Q19+D19*'Inputs'!$B$13</x:f>
        <x:v>190</x:v>
      </x:c>
      <x:c r="S19" s="32" t="n">
        <x:f>IF(C19&gt;='Inputs'!$B$32,'Case Inputs'!$L$3,0)</x:f>
        <x:v>50</x:v>
      </x:c>
      <x:c r="T19" s="32" t="n">
        <x:f>(M19+O19)*'Inputs'!$B$17+(K19*'Inputs'!$B$28+N19*'Inputs'!$B$29)*'Inputs'!$B$18+O19*'Inputs'!$B$19</x:f>
        <x:v>60.4</x:v>
      </x:c>
      <x:c r="U19" s="34" t="n">
        <x:f>SUM(R19:T19)</x:f>
        <x:v>300.4</x:v>
      </x:c>
      <x:c r="V19" s="34" t="n">
        <x:f>P19-U19</x:f>
        <x:v>5674.6</x:v>
      </x:c>
      <x:c r="W19" s="28" t="n">
        <x:f>IF(P19=0,"",V19/P19)</x:f>
        <x:v>0.949723849372385</x:v>
      </x:c>
      <x:c r="X19" s="32" t="n">
        <x:f>'Inputs'!$B$21</x:f>
        <x:v>100</x:v>
      </x:c>
      <x:c r="Y19" s="32" t="n">
        <x:f>IF(OR(MONTH(B19)&gt;=9,MONTH(B19)&lt;=4),'Case Inputs'!$N$3,'Case Inputs'!$O$3)</x:f>
        <x:v>300</x:v>
      </x:c>
      <x:c r="Z19" s="32" t="n">
        <x:f>IF(C19&gt;='Inputs'!$B$32,'Case Inputs'!$P$3,0)</x:f>
        <x:v>200</x:v>
      </x:c>
      <x:c r="AA19" s="32" t="n">
        <x:f>IF(C19=1,'Case Inputs'!$M$3*'Inputs'!$B$30,IF(C19=2,'Case Inputs'!$M$3*'Inputs'!$B$31,0))</x:f>
        <x:v>0</x:v>
      </x:c>
      <x:c r="AB19" s="34" t="n">
        <x:f>V19-SUM(X19:AA19)</x:f>
        <x:v>5074.6</x:v>
      </x:c>
      <x:c r="AC19" s="32" t="n">
        <x:f>IF(C19&gt;'Inputs'!$B$24,INDEX($I$2:$I$25,MAX(1,C19-'Inputs'!$B$24)),0)+IF(C19&gt;'Inputs'!$B$25,INDEX($J$2:$J$25,MAX(1,C19-'Inputs'!$B$25)),0)+M19+O19</x:f>
        <x:v>4962.5</x:v>
      </x:c>
      <x:c r="AD19" s="34" t="n">
        <x:f>U19+SUM(X19:AA19)</x:f>
        <x:v>900.4</x:v>
      </x:c>
      <x:c r="AE19" s="34" t="n">
        <x:f>AC19-AD19</x:f>
        <x:v>4062.1</x:v>
      </x:c>
      <x:c r="AF19" s="34" t="n">
        <x:f>SUM($AE$2:AE19)</x:f>
        <x:v>3918.1</x:v>
      </x:c>
      <x:c r="AG19" s="32" t="n">
        <x:f>'Inputs'!$B$22*'Inputs'!$B$23</x:f>
        <x:v>4000</x:v>
      </x:c>
      <x:c r="AH19" s="34" t="n">
        <x:f>AB19-AG19</x:f>
        <x:v>1074.6000000000004</x:v>
      </x:c>
    </x:row>
    <x:row r="20" ht="32" customHeight="1">
      <x:c r="A20" s="4" t="str">
        <x:v>Base</x:v>
      </x:c>
      <x:c r="B20" s="22" t="n">
        <x:v>46813</x:v>
      </x:c>
      <x:c r="C20" s="4" t="n">
        <x:v>19</x:v>
      </x:c>
      <x:c r="D20" s="24" t="n">
        <x:v>100000</x:v>
      </x:c>
      <x:c r="E20" s="30" t="n">
        <x:f>D20*'Inputs'!$B$2*'Inputs'!$B$3</x:f>
        <x:v>550000</x:v>
      </x:c>
      <x:c r="F20" s="30" t="n">
        <x:f>E20*'Inputs'!$B$4</x:f>
        <x:v>4400000</x:v>
      </x:c>
      <x:c r="G20" s="30" t="n">
        <x:f>E20*'Inputs'!$B$5/'Inputs'!$B$26</x:f>
        <x:v>192.5</x:v>
      </x:c>
      <x:c r="H20" s="30" t="n">
        <x:f>IF(C20&gt;='Case Inputs'!$G$3,D20*'Case Inputs'!$B$3,0)</x:f>
        <x:v>2500</x:v>
      </x:c>
      <x:c r="I20" s="32" t="n">
        <x:f>H20*'Case Inputs'!$C$3*'Case Inputs'!$D$3*'Case Inputs'!$E$3</x:f>
        <x:v>1000</x:v>
      </x:c>
      <x:c r="J20" s="32" t="n">
        <x:f>IF(AND(C20&gt;='Case Inputs'!$F$3,D20&gt;='Inputs'!$B$16),E20*'Inputs'!$B$14*'Inputs'!$B$15/'Inputs'!$B$27,0)</x:f>
        <x:v>1650</x:v>
      </x:c>
      <x:c r="K20" s="24" t="n">
        <x:v>6</x:v>
      </x:c>
      <x:c r="L20" s="32" t="n">
        <x:f>IF(C20&lt;='Inputs'!$B$33,'Case Inputs'!$J$3,'Case Inputs'!$K$3)</x:f>
        <x:v>250</x:v>
      </x:c>
      <x:c r="M20" s="34" t="n">
        <x:f>K20*L20</x:f>
        <x:v>1500</x:v>
      </x:c>
      <x:c r="N20" s="25" t="n">
        <x:f>IF(C20&gt;='Case Inputs'!$H$3,D20*'Case Inputs'!$I$3,0)</x:f>
        <x:v>0</x:v>
      </x:c>
      <x:c r="O20" s="32" t="n">
        <x:f>N20*'Inputs'!$B$20</x:f>
        <x:v>0</x:v>
      </x:c>
      <x:c r="P20" s="34" t="n">
        <x:f>SUM(I20:J20)+M20+O20</x:f>
        <x:v>4150</x:v>
      </x:c>
      <x:c r="Q20" s="32" t="n">
        <x:f>IF(F20&lt;='Inputs'!$B$7,0,IF(F20&lt;='Inputs'!$B$8,'Inputs'!$B$10,IF(F20&lt;='Inputs'!$B$9,'Inputs'!$B$11,'Inputs'!$B$12)))</x:f>
        <x:v>20</x:v>
      </x:c>
      <x:c r="R20" s="32" t="n">
        <x:f>'Inputs'!$B$6+Q20+D20*'Inputs'!$B$13</x:f>
        <x:v>140</x:v>
      </x:c>
      <x:c r="S20" s="32" t="n">
        <x:f>IF(C20&gt;='Inputs'!$B$32,'Case Inputs'!$L$3,0)</x:f>
        <x:v>50</x:v>
      </x:c>
      <x:c r="T20" s="32" t="n">
        <x:f>(M20+O20)*'Inputs'!$B$17+(K20*'Inputs'!$B$28+N20*'Inputs'!$B$29)*'Inputs'!$B$18+O20*'Inputs'!$B$19</x:f>
        <x:v>45.3</x:v>
      </x:c>
      <x:c r="U20" s="34" t="n">
        <x:f>SUM(R20:T20)</x:f>
        <x:v>235.3</x:v>
      </x:c>
      <x:c r="V20" s="34" t="n">
        <x:f>P20-U20</x:f>
        <x:v>3914.7</x:v>
      </x:c>
      <x:c r="W20" s="28" t="n">
        <x:f>IF(P20=0,"",V20/P20)</x:f>
        <x:v>0.943301204819277</x:v>
      </x:c>
      <x:c r="X20" s="32" t="n">
        <x:f>'Inputs'!$B$21</x:f>
        <x:v>100</x:v>
      </x:c>
      <x:c r="Y20" s="32" t="n">
        <x:f>IF(OR(MONTH(B20)&gt;=9,MONTH(B20)&lt;=4),'Case Inputs'!$N$3,'Case Inputs'!$O$3)</x:f>
        <x:v>300</x:v>
      </x:c>
      <x:c r="Z20" s="32" t="n">
        <x:f>IF(C20&gt;='Inputs'!$B$32,'Case Inputs'!$P$3,0)</x:f>
        <x:v>200</x:v>
      </x:c>
      <x:c r="AA20" s="32" t="n">
        <x:f>IF(C20=1,'Case Inputs'!$M$3*'Inputs'!$B$30,IF(C20=2,'Case Inputs'!$M$3*'Inputs'!$B$31,0))</x:f>
        <x:v>0</x:v>
      </x:c>
      <x:c r="AB20" s="34" t="n">
        <x:f>V20-SUM(X20:AA20)</x:f>
        <x:v>3314.7</x:v>
      </x:c>
      <x:c r="AC20" s="32" t="n">
        <x:f>IF(C20&gt;'Inputs'!$B$24,INDEX($I$2:$I$25,MAX(1,C20-'Inputs'!$B$24)),0)+IF(C20&gt;'Inputs'!$B$25,INDEX($J$2:$J$25,MAX(1,C20-'Inputs'!$B$25)),0)+M20+O20</x:f>
        <x:v>5225</x:v>
      </x:c>
      <x:c r="AD20" s="34" t="n">
        <x:f>U20+SUM(X20:AA20)</x:f>
        <x:v>835.3</x:v>
      </x:c>
      <x:c r="AE20" s="34" t="n">
        <x:f>AC20-AD20</x:f>
        <x:v>4389.7</x:v>
      </x:c>
      <x:c r="AF20" s="34" t="n">
        <x:f>SUM($AE$2:AE20)</x:f>
        <x:v>8307.8</x:v>
      </x:c>
      <x:c r="AG20" s="32" t="n">
        <x:f>'Inputs'!$B$22*'Inputs'!$B$23</x:f>
        <x:v>4000</x:v>
      </x:c>
      <x:c r="AH20" s="34" t="n">
        <x:f>AB20-AG20</x:f>
        <x:v>-685.3000000000002</x:v>
      </x:c>
    </x:row>
    <x:row r="21" ht="32" customHeight="1">
      <x:c r="A21" s="4" t="str">
        <x:v>Base</x:v>
      </x:c>
      <x:c r="B21" s="22" t="n">
        <x:v>46844</x:v>
      </x:c>
      <x:c r="C21" s="4" t="n">
        <x:v>20</x:v>
      </x:c>
      <x:c r="D21" s="24" t="n">
        <x:v>45000</x:v>
      </x:c>
      <x:c r="E21" s="30" t="n">
        <x:f>D21*'Inputs'!$B$2*'Inputs'!$B$3</x:f>
        <x:v>247500.00000000003</x:v>
      </x:c>
      <x:c r="F21" s="30" t="n">
        <x:f>E21*'Inputs'!$B$4</x:f>
        <x:v>1980000.0000000002</x:v>
      </x:c>
      <x:c r="G21" s="30" t="n">
        <x:f>E21*'Inputs'!$B$5/'Inputs'!$B$26</x:f>
        <x:v>86.625</x:v>
      </x:c>
      <x:c r="H21" s="30" t="n">
        <x:f>IF(C21&gt;='Case Inputs'!$G$3,D21*'Case Inputs'!$B$3,0)</x:f>
        <x:v>1125</x:v>
      </x:c>
      <x:c r="I21" s="32" t="n">
        <x:f>H21*'Case Inputs'!$C$3*'Case Inputs'!$D$3*'Case Inputs'!$E$3</x:f>
        <x:v>450</x:v>
      </x:c>
      <x:c r="J21" s="32" t="n">
        <x:f>IF(AND(C21&gt;='Case Inputs'!$F$3,D21&gt;='Inputs'!$B$16),E21*'Inputs'!$B$14*'Inputs'!$B$15/'Inputs'!$B$27,0)</x:f>
        <x:v>742.5</x:v>
      </x:c>
      <x:c r="K21" s="24" t="n">
        <x:v>3</x:v>
      </x:c>
      <x:c r="L21" s="32" t="n">
        <x:f>IF(C21&lt;='Inputs'!$B$33,'Case Inputs'!$J$3,'Case Inputs'!$K$3)</x:f>
        <x:v>250</x:v>
      </x:c>
      <x:c r="M21" s="34" t="n">
        <x:f>K21*L21</x:f>
        <x:v>750</x:v>
      </x:c>
      <x:c r="N21" s="25" t="n">
        <x:f>IF(C21&gt;='Case Inputs'!$H$3,D21*'Case Inputs'!$I$3,0)</x:f>
        <x:v>0</x:v>
      </x:c>
      <x:c r="O21" s="32" t="n">
        <x:f>N21*'Inputs'!$B$20</x:f>
        <x:v>0</x:v>
      </x:c>
      <x:c r="P21" s="34" t="n">
        <x:f>SUM(I21:J21)+M21+O21</x:f>
        <x:v>1942.5</x:v>
      </x:c>
      <x:c r="Q21" s="32" t="n">
        <x:f>IF(F21&lt;='Inputs'!$B$7,0,IF(F21&lt;='Inputs'!$B$8,'Inputs'!$B$10,IF(F21&lt;='Inputs'!$B$9,'Inputs'!$B$11,'Inputs'!$B$12)))</x:f>
        <x:v>20</x:v>
      </x:c>
      <x:c r="R21" s="32" t="n">
        <x:f>'Inputs'!$B$6+Q21+D21*'Inputs'!$B$13</x:f>
        <x:v>85</x:v>
      </x:c>
      <x:c r="S21" s="32" t="n">
        <x:f>IF(C21&gt;='Inputs'!$B$32,'Case Inputs'!$L$3,0)</x:f>
        <x:v>50</x:v>
      </x:c>
      <x:c r="T21" s="32" t="n">
        <x:f>(M21+O21)*'Inputs'!$B$17+(K21*'Inputs'!$B$28+N21*'Inputs'!$B$29)*'Inputs'!$B$18+O21*'Inputs'!$B$19</x:f>
        <x:v>22.65</x:v>
      </x:c>
      <x:c r="U21" s="34" t="n">
        <x:f>SUM(R21:T21)</x:f>
        <x:v>157.65</x:v>
      </x:c>
      <x:c r="V21" s="34" t="n">
        <x:f>P21-U21</x:f>
        <x:v>1784.85</x:v>
      </x:c>
      <x:c r="W21" s="28" t="n">
        <x:f>IF(P21=0,"",V21/P21)</x:f>
        <x:v>0.9188416988416988</x:v>
      </x:c>
      <x:c r="X21" s="32" t="n">
        <x:f>'Inputs'!$B$21</x:f>
        <x:v>100</x:v>
      </x:c>
      <x:c r="Y21" s="32" t="n">
        <x:f>IF(OR(MONTH(B21)&gt;=9,MONTH(B21)&lt;=4),'Case Inputs'!$N$3,'Case Inputs'!$O$3)</x:f>
        <x:v>300</x:v>
      </x:c>
      <x:c r="Z21" s="32" t="n">
        <x:f>IF(C21&gt;='Inputs'!$B$32,'Case Inputs'!$P$3,0)</x:f>
        <x:v>200</x:v>
      </x:c>
      <x:c r="AA21" s="32" t="n">
        <x:f>IF(C21=1,'Case Inputs'!$M$3*'Inputs'!$B$30,IF(C21=2,'Case Inputs'!$M$3*'Inputs'!$B$31,0))</x:f>
        <x:v>0</x:v>
      </x:c>
      <x:c r="AB21" s="34" t="n">
        <x:f>V21-SUM(X21:AA21)</x:f>
        <x:v>1184.85</x:v>
      </x:c>
      <x:c r="AC21" s="32" t="n">
        <x:f>IF(C21&gt;'Inputs'!$B$24,INDEX($I$2:$I$25,MAX(1,C21-'Inputs'!$B$24)),0)+IF(C21&gt;'Inputs'!$B$25,INDEX($J$2:$J$25,MAX(1,C21-'Inputs'!$B$25)),0)+M21+O21</x:f>
        <x:v>3900</x:v>
      </x:c>
      <x:c r="AD21" s="34" t="n">
        <x:f>U21+SUM(X21:AA21)</x:f>
        <x:v>757.65</x:v>
      </x:c>
      <x:c r="AE21" s="34" t="n">
        <x:f>AC21-AD21</x:f>
        <x:v>3142.35</x:v>
      </x:c>
      <x:c r="AF21" s="34" t="n">
        <x:f>SUM($AE$2:AE21)</x:f>
        <x:v>11450.15</x:v>
      </x:c>
      <x:c r="AG21" s="32" t="n">
        <x:f>'Inputs'!$B$22*'Inputs'!$B$23</x:f>
        <x:v>4000</x:v>
      </x:c>
      <x:c r="AH21" s="34" t="n">
        <x:f>AB21-AG21</x:f>
        <x:v>-2815.15</x:v>
      </x:c>
    </x:row>
    <x:row r="22" ht="32" customHeight="1">
      <x:c r="A22" s="4" t="str">
        <x:v>Base</x:v>
      </x:c>
      <x:c r="B22" s="22" t="n">
        <x:v>46874</x:v>
      </x:c>
      <x:c r="C22" s="4" t="n">
        <x:v>21</x:v>
      </x:c>
      <x:c r="D22" s="24" t="n">
        <x:v>15000</x:v>
      </x:c>
      <x:c r="E22" s="30" t="n">
        <x:f>D22*'Inputs'!$B$2*'Inputs'!$B$3</x:f>
        <x:v>82500</x:v>
      </x:c>
      <x:c r="F22" s="30" t="n">
        <x:f>E22*'Inputs'!$B$4</x:f>
        <x:v>660000</x:v>
      </x:c>
      <x:c r="G22" s="30" t="n">
        <x:f>E22*'Inputs'!$B$5/'Inputs'!$B$26</x:f>
        <x:v>28.874999999999996</x:v>
      </x:c>
      <x:c r="H22" s="30" t="n">
        <x:f>IF(C22&gt;='Case Inputs'!$G$3,D22*'Case Inputs'!$B$3,0)</x:f>
        <x:v>375</x:v>
      </x:c>
      <x:c r="I22" s="32" t="n">
        <x:f>H22*'Case Inputs'!$C$3*'Case Inputs'!$D$3*'Case Inputs'!$E$3</x:f>
        <x:v>150</x:v>
      </x:c>
      <x:c r="J22" s="32" t="n">
        <x:f>IF(AND(C22&gt;='Case Inputs'!$F$3,D22&gt;='Inputs'!$B$16),E22*'Inputs'!$B$14*'Inputs'!$B$15/'Inputs'!$B$27,0)</x:f>
        <x:v>247.5</x:v>
      </x:c>
      <x:c r="K22" s="24" t="n">
        <x:v>0</x:v>
      </x:c>
      <x:c r="L22" s="32" t="n">
        <x:f>IF(C22&lt;='Inputs'!$B$33,'Case Inputs'!$J$3,'Case Inputs'!$K$3)</x:f>
        <x:v>250</x:v>
      </x:c>
      <x:c r="M22" s="34" t="n">
        <x:f>K22*L22</x:f>
        <x:v>0</x:v>
      </x:c>
      <x:c r="N22" s="25" t="n">
        <x:f>IF(C22&gt;='Case Inputs'!$H$3,D22*'Case Inputs'!$I$3,0)</x:f>
        <x:v>0</x:v>
      </x:c>
      <x:c r="O22" s="32" t="n">
        <x:f>N22*'Inputs'!$B$20</x:f>
        <x:v>0</x:v>
      </x:c>
      <x:c r="P22" s="34" t="n">
        <x:f>SUM(I22:J22)+M22+O22</x:f>
        <x:v>397.5</x:v>
      </x:c>
      <x:c r="Q22" s="32" t="n">
        <x:f>IF(F22&lt;='Inputs'!$B$7,0,IF(F22&lt;='Inputs'!$B$8,'Inputs'!$B$10,IF(F22&lt;='Inputs'!$B$9,'Inputs'!$B$11,'Inputs'!$B$12)))</x:f>
        <x:v>0</x:v>
      </x:c>
      <x:c r="R22" s="32" t="n">
        <x:f>'Inputs'!$B$6+Q22+D22*'Inputs'!$B$13</x:f>
        <x:v>35</x:v>
      </x:c>
      <x:c r="S22" s="32" t="n">
        <x:f>IF(C22&gt;='Inputs'!$B$32,'Case Inputs'!$L$3,0)</x:f>
        <x:v>50</x:v>
      </x:c>
      <x:c r="T22" s="32" t="n">
        <x:f>(M22+O22)*'Inputs'!$B$17+(K22*'Inputs'!$B$28+N22*'Inputs'!$B$29)*'Inputs'!$B$18+O22*'Inputs'!$B$19</x:f>
        <x:v>0</x:v>
      </x:c>
      <x:c r="U22" s="34" t="n">
        <x:f>SUM(R22:T22)</x:f>
        <x:v>85</x:v>
      </x:c>
      <x:c r="V22" s="34" t="n">
        <x:f>P22-U22</x:f>
        <x:v>312.5</x:v>
      </x:c>
      <x:c r="W22" s="28" t="n">
        <x:f>IF(P22=0,"",V22/P22)</x:f>
        <x:v>0.7861635220125787</x:v>
      </x:c>
      <x:c r="X22" s="32" t="n">
        <x:f>'Inputs'!$B$21</x:f>
        <x:v>100</x:v>
      </x:c>
      <x:c r="Y22" s="32" t="n">
        <x:f>IF(OR(MONTH(B22)&gt;=9,MONTH(B22)&lt;=4),'Case Inputs'!$N$3,'Case Inputs'!$O$3)</x:f>
        <x:v>50</x:v>
      </x:c>
      <x:c r="Z22" s="32" t="n">
        <x:f>IF(C22&gt;='Inputs'!$B$32,'Case Inputs'!$P$3,0)</x:f>
        <x:v>200</x:v>
      </x:c>
      <x:c r="AA22" s="32" t="n">
        <x:f>IF(C22=1,'Case Inputs'!$M$3*'Inputs'!$B$30,IF(C22=2,'Case Inputs'!$M$3*'Inputs'!$B$31,0))</x:f>
        <x:v>0</x:v>
      </x:c>
      <x:c r="AB22" s="34" t="n">
        <x:f>V22-SUM(X22:AA22)</x:f>
        <x:v>-37.5</x:v>
      </x:c>
      <x:c r="AC22" s="32" t="n">
        <x:f>IF(C22&gt;'Inputs'!$B$24,INDEX($I$2:$I$25,MAX(1,C22-'Inputs'!$B$24)),0)+IF(C22&gt;'Inputs'!$B$25,INDEX($J$2:$J$25,MAX(1,C22-'Inputs'!$B$25)),0)+M22+O22</x:f>
        <x:v>1742.5</x:v>
      </x:c>
      <x:c r="AD22" s="34" t="n">
        <x:f>U22+SUM(X22:AA22)</x:f>
        <x:v>435</x:v>
      </x:c>
      <x:c r="AE22" s="34" t="n">
        <x:f>AC22-AD22</x:f>
        <x:v>1307.5</x:v>
      </x:c>
      <x:c r="AF22" s="34" t="n">
        <x:f>SUM($AE$2:AE22)</x:f>
        <x:v>12757.65</x:v>
      </x:c>
      <x:c r="AG22" s="32" t="n">
        <x:f>'Inputs'!$B$22*'Inputs'!$B$23</x:f>
        <x:v>4000</x:v>
      </x:c>
      <x:c r="AH22" s="34" t="n">
        <x:f>AB22-AG22</x:f>
        <x:v>-4037.5</x:v>
      </x:c>
    </x:row>
    <x:row r="23" ht="32" customHeight="1">
      <x:c r="A23" s="4" t="str">
        <x:v>Base</x:v>
      </x:c>
      <x:c r="B23" s="22" t="n">
        <x:v>46905</x:v>
      </x:c>
      <x:c r="C23" s="4" t="n">
        <x:v>22</x:v>
      </x:c>
      <x:c r="D23" s="24" t="n">
        <x:v>8000</x:v>
      </x:c>
      <x:c r="E23" s="30" t="n">
        <x:f>D23*'Inputs'!$B$2*'Inputs'!$B$3</x:f>
        <x:v>44000</x:v>
      </x:c>
      <x:c r="F23" s="30" t="n">
        <x:f>E23*'Inputs'!$B$4</x:f>
        <x:v>352000</x:v>
      </x:c>
      <x:c r="G23" s="30" t="n">
        <x:f>E23*'Inputs'!$B$5/'Inputs'!$B$26</x:f>
        <x:v>15.399999999999999</x:v>
      </x:c>
      <x:c r="H23" s="30" t="n">
        <x:f>IF(C23&gt;='Case Inputs'!$G$3,D23*'Case Inputs'!$B$3,0)</x:f>
        <x:v>200</x:v>
      </x:c>
      <x:c r="I23" s="32" t="n">
        <x:f>H23*'Case Inputs'!$C$3*'Case Inputs'!$D$3*'Case Inputs'!$E$3</x:f>
        <x:v>80</x:v>
      </x:c>
      <x:c r="J23" s="32" t="n">
        <x:f>IF(AND(C23&gt;='Case Inputs'!$F$3,D23&gt;='Inputs'!$B$16),E23*'Inputs'!$B$14*'Inputs'!$B$15/'Inputs'!$B$27,0)</x:f>
        <x:v>0</x:v>
      </x:c>
      <x:c r="K23" s="24" t="n">
        <x:v>0</x:v>
      </x:c>
      <x:c r="L23" s="32" t="n">
        <x:f>IF(C23&lt;='Inputs'!$B$33,'Case Inputs'!$J$3,'Case Inputs'!$K$3)</x:f>
        <x:v>250</x:v>
      </x:c>
      <x:c r="M23" s="34" t="n">
        <x:f>K23*L23</x:f>
        <x:v>0</x:v>
      </x:c>
      <x:c r="N23" s="25" t="n">
        <x:f>IF(C23&gt;='Case Inputs'!$H$3,D23*'Case Inputs'!$I$3,0)</x:f>
        <x:v>0</x:v>
      </x:c>
      <x:c r="O23" s="32" t="n">
        <x:f>N23*'Inputs'!$B$20</x:f>
        <x:v>0</x:v>
      </x:c>
      <x:c r="P23" s="34" t="n">
        <x:f>SUM(I23:J23)+M23+O23</x:f>
        <x:v>80</x:v>
      </x:c>
      <x:c r="Q23" s="32" t="n">
        <x:f>IF(F23&lt;='Inputs'!$B$7,0,IF(F23&lt;='Inputs'!$B$8,'Inputs'!$B$10,IF(F23&lt;='Inputs'!$B$9,'Inputs'!$B$11,'Inputs'!$B$12)))</x:f>
        <x:v>0</x:v>
      </x:c>
      <x:c r="R23" s="32" t="n">
        <x:f>'Inputs'!$B$6+Q23+D23*'Inputs'!$B$13</x:f>
        <x:v>28</x:v>
      </x:c>
      <x:c r="S23" s="32" t="n">
        <x:f>IF(C23&gt;='Inputs'!$B$32,'Case Inputs'!$L$3,0)</x:f>
        <x:v>50</x:v>
      </x:c>
      <x:c r="T23" s="32" t="n">
        <x:f>(M23+O23)*'Inputs'!$B$17+(K23*'Inputs'!$B$28+N23*'Inputs'!$B$29)*'Inputs'!$B$18+O23*'Inputs'!$B$19</x:f>
        <x:v>0</x:v>
      </x:c>
      <x:c r="U23" s="34" t="n">
        <x:f>SUM(R23:T23)</x:f>
        <x:v>78</x:v>
      </x:c>
      <x:c r="V23" s="34" t="n">
        <x:f>P23-U23</x:f>
        <x:v>2</x:v>
      </x:c>
      <x:c r="W23" s="28" t="n">
        <x:f>IF(P23=0,"",V23/P23)</x:f>
        <x:v>0.025</x:v>
      </x:c>
      <x:c r="X23" s="32" t="n">
        <x:f>'Inputs'!$B$21</x:f>
        <x:v>100</x:v>
      </x:c>
      <x:c r="Y23" s="32" t="n">
        <x:f>IF(OR(MONTH(B23)&gt;=9,MONTH(B23)&lt;=4),'Case Inputs'!$N$3,'Case Inputs'!$O$3)</x:f>
        <x:v>50</x:v>
      </x:c>
      <x:c r="Z23" s="32" t="n">
        <x:f>IF(C23&gt;='Inputs'!$B$32,'Case Inputs'!$P$3,0)</x:f>
        <x:v>200</x:v>
      </x:c>
      <x:c r="AA23" s="32" t="n">
        <x:f>IF(C23=1,'Case Inputs'!$M$3*'Inputs'!$B$30,IF(C23=2,'Case Inputs'!$M$3*'Inputs'!$B$31,0))</x:f>
        <x:v>0</x:v>
      </x:c>
      <x:c r="AB23" s="34" t="n">
        <x:f>V23-SUM(X23:AA23)</x:f>
        <x:v>-348</x:v>
      </x:c>
      <x:c r="AC23" s="32" t="n">
        <x:f>IF(C23&gt;'Inputs'!$B$24,INDEX($I$2:$I$25,MAX(1,C23-'Inputs'!$B$24)),0)+IF(C23&gt;'Inputs'!$B$25,INDEX($J$2:$J$25,MAX(1,C23-'Inputs'!$B$25)),0)+M23+O23</x:f>
        <x:v>697.5</x:v>
      </x:c>
      <x:c r="AD23" s="34" t="n">
        <x:f>U23+SUM(X23:AA23)</x:f>
        <x:v>428</x:v>
      </x:c>
      <x:c r="AE23" s="34" t="n">
        <x:f>AC23-AD23</x:f>
        <x:v>269.5</x:v>
      </x:c>
      <x:c r="AF23" s="34" t="n">
        <x:f>SUM($AE$2:AE23)</x:f>
        <x:v>13027.15</x:v>
      </x:c>
      <x:c r="AG23" s="32" t="n">
        <x:f>'Inputs'!$B$22*'Inputs'!$B$23</x:f>
        <x:v>4000</x:v>
      </x:c>
      <x:c r="AH23" s="34" t="n">
        <x:f>AB23-AG23</x:f>
        <x:v>-4348</x:v>
      </x:c>
    </x:row>
    <x:row r="24" ht="32" customHeight="1">
      <x:c r="A24" s="4" t="str">
        <x:v>Base</x:v>
      </x:c>
      <x:c r="B24" s="22" t="n">
        <x:v>46935</x:v>
      </x:c>
      <x:c r="C24" s="4" t="n">
        <x:v>23</x:v>
      </x:c>
      <x:c r="D24" s="24" t="n">
        <x:v>6000</x:v>
      </x:c>
      <x:c r="E24" s="30" t="n">
        <x:f>D24*'Inputs'!$B$2*'Inputs'!$B$3</x:f>
        <x:v>33000</x:v>
      </x:c>
      <x:c r="F24" s="30" t="n">
        <x:f>E24*'Inputs'!$B$4</x:f>
        <x:v>264000</x:v>
      </x:c>
      <x:c r="G24" s="30" t="n">
        <x:f>E24*'Inputs'!$B$5/'Inputs'!$B$26</x:f>
        <x:v>11.55</x:v>
      </x:c>
      <x:c r="H24" s="30" t="n">
        <x:f>IF(C24&gt;='Case Inputs'!$G$3,D24*'Case Inputs'!$B$3,0)</x:f>
        <x:v>150</x:v>
      </x:c>
      <x:c r="I24" s="32" t="n">
        <x:f>H24*'Case Inputs'!$C$3*'Case Inputs'!$D$3*'Case Inputs'!$E$3</x:f>
        <x:v>60</x:v>
      </x:c>
      <x:c r="J24" s="32" t="n">
        <x:f>IF(AND(C24&gt;='Case Inputs'!$F$3,D24&gt;='Inputs'!$B$16),E24*'Inputs'!$B$14*'Inputs'!$B$15/'Inputs'!$B$27,0)</x:f>
        <x:v>0</x:v>
      </x:c>
      <x:c r="K24" s="24" t="n">
        <x:v>0</x:v>
      </x:c>
      <x:c r="L24" s="32" t="n">
        <x:f>IF(C24&lt;='Inputs'!$B$33,'Case Inputs'!$J$3,'Case Inputs'!$K$3)</x:f>
        <x:v>250</x:v>
      </x:c>
      <x:c r="M24" s="34" t="n">
        <x:f>K24*L24</x:f>
        <x:v>0</x:v>
      </x:c>
      <x:c r="N24" s="25" t="n">
        <x:f>IF(C24&gt;='Case Inputs'!$H$3,D24*'Case Inputs'!$I$3,0)</x:f>
        <x:v>0</x:v>
      </x:c>
      <x:c r="O24" s="32" t="n">
        <x:f>N24*'Inputs'!$B$20</x:f>
        <x:v>0</x:v>
      </x:c>
      <x:c r="P24" s="34" t="n">
        <x:f>SUM(I24:J24)+M24+O24</x:f>
        <x:v>60</x:v>
      </x:c>
      <x:c r="Q24" s="32" t="n">
        <x:f>IF(F24&lt;='Inputs'!$B$7,0,IF(F24&lt;='Inputs'!$B$8,'Inputs'!$B$10,IF(F24&lt;='Inputs'!$B$9,'Inputs'!$B$11,'Inputs'!$B$12)))</x:f>
        <x:v>0</x:v>
      </x:c>
      <x:c r="R24" s="32" t="n">
        <x:f>'Inputs'!$B$6+Q24+D24*'Inputs'!$B$13</x:f>
        <x:v>26</x:v>
      </x:c>
      <x:c r="S24" s="32" t="n">
        <x:f>IF(C24&gt;='Inputs'!$B$32,'Case Inputs'!$L$3,0)</x:f>
        <x:v>50</x:v>
      </x:c>
      <x:c r="T24" s="32" t="n">
        <x:f>(M24+O24)*'Inputs'!$B$17+(K24*'Inputs'!$B$28+N24*'Inputs'!$B$29)*'Inputs'!$B$18+O24*'Inputs'!$B$19</x:f>
        <x:v>0</x:v>
      </x:c>
      <x:c r="U24" s="34" t="n">
        <x:f>SUM(R24:T24)</x:f>
        <x:v>76</x:v>
      </x:c>
      <x:c r="V24" s="34" t="n">
        <x:f>P24-U24</x:f>
        <x:v>-16</x:v>
      </x:c>
      <x:c r="W24" s="28" t="n">
        <x:f>IF(P24=0,"",V24/P24)</x:f>
        <x:v>-0.26666666666666666</x:v>
      </x:c>
      <x:c r="X24" s="32" t="n">
        <x:f>'Inputs'!$B$21</x:f>
        <x:v>100</x:v>
      </x:c>
      <x:c r="Y24" s="32" t="n">
        <x:f>IF(OR(MONTH(B24)&gt;=9,MONTH(B24)&lt;=4),'Case Inputs'!$N$3,'Case Inputs'!$O$3)</x:f>
        <x:v>50</x:v>
      </x:c>
      <x:c r="Z24" s="32" t="n">
        <x:f>IF(C24&gt;='Inputs'!$B$32,'Case Inputs'!$P$3,0)</x:f>
        <x:v>200</x:v>
      </x:c>
      <x:c r="AA24" s="32" t="n">
        <x:f>IF(C24=1,'Case Inputs'!$M$3*'Inputs'!$B$30,IF(C24=2,'Case Inputs'!$M$3*'Inputs'!$B$31,0))</x:f>
        <x:v>0</x:v>
      </x:c>
      <x:c r="AB24" s="34" t="n">
        <x:f>V24-SUM(X24:AA24)</x:f>
        <x:v>-366</x:v>
      </x:c>
      <x:c r="AC24" s="32" t="n">
        <x:f>IF(C24&gt;'Inputs'!$B$24,INDEX($I$2:$I$25,MAX(1,C24-'Inputs'!$B$24)),0)+IF(C24&gt;'Inputs'!$B$25,INDEX($J$2:$J$25,MAX(1,C24-'Inputs'!$B$25)),0)+M24+O24</x:f>
        <x:v>150</x:v>
      </x:c>
      <x:c r="AD24" s="34" t="n">
        <x:f>U24+SUM(X24:AA24)</x:f>
        <x:v>426</x:v>
      </x:c>
      <x:c r="AE24" s="34" t="n">
        <x:f>AC24-AD24</x:f>
        <x:v>-276</x:v>
      </x:c>
      <x:c r="AF24" s="34" t="n">
        <x:f>SUM($AE$2:AE24)</x:f>
        <x:v>12751.15</x:v>
      </x:c>
      <x:c r="AG24" s="32" t="n">
        <x:f>'Inputs'!$B$22*'Inputs'!$B$23</x:f>
        <x:v>4000</x:v>
      </x:c>
      <x:c r="AH24" s="34" t="n">
        <x:f>AB24-AG24</x:f>
        <x:v>-4366</x:v>
      </x:c>
    </x:row>
    <x:row r="25" ht="32" customHeight="1">
      <x:c r="A25" s="4" t="str">
        <x:v>Base</x:v>
      </x:c>
      <x:c r="B25" s="22" t="n">
        <x:v>46966</x:v>
      </x:c>
      <x:c r="C25" s="4" t="n">
        <x:v>24</x:v>
      </x:c>
      <x:c r="D25" s="24" t="n">
        <x:v>10000</x:v>
      </x:c>
      <x:c r="E25" s="30" t="n">
        <x:f>D25*'Inputs'!$B$2*'Inputs'!$B$3</x:f>
        <x:v>55000.00000000001</x:v>
      </x:c>
      <x:c r="F25" s="30" t="n">
        <x:f>E25*'Inputs'!$B$4</x:f>
        <x:v>440000.00000000006</x:v>
      </x:c>
      <x:c r="G25" s="30" t="n">
        <x:f>E25*'Inputs'!$B$5/'Inputs'!$B$26</x:f>
        <x:v>19.25</x:v>
      </x:c>
      <x:c r="H25" s="30" t="n">
        <x:f>IF(C25&gt;='Case Inputs'!$G$3,D25*'Case Inputs'!$B$3,0)</x:f>
        <x:v>250</x:v>
      </x:c>
      <x:c r="I25" s="32" t="n">
        <x:f>H25*'Case Inputs'!$C$3*'Case Inputs'!$D$3*'Case Inputs'!$E$3</x:f>
        <x:v>100</x:v>
      </x:c>
      <x:c r="J25" s="32" t="n">
        <x:f>IF(AND(C25&gt;='Case Inputs'!$F$3,D25&gt;='Inputs'!$B$16),E25*'Inputs'!$B$14*'Inputs'!$B$15/'Inputs'!$B$27,0)</x:f>
        <x:v>165</x:v>
      </x:c>
      <x:c r="K25" s="24" t="n">
        <x:v>0</x:v>
      </x:c>
      <x:c r="L25" s="32" t="n">
        <x:f>IF(C25&lt;='Inputs'!$B$33,'Case Inputs'!$J$3,'Case Inputs'!$K$3)</x:f>
        <x:v>250</x:v>
      </x:c>
      <x:c r="M25" s="34" t="n">
        <x:f>K25*L25</x:f>
        <x:v>0</x:v>
      </x:c>
      <x:c r="N25" s="25" t="n">
        <x:f>IF(C25&gt;='Case Inputs'!$H$3,D25*'Case Inputs'!$I$3,0)</x:f>
        <x:v>0</x:v>
      </x:c>
      <x:c r="O25" s="32" t="n">
        <x:f>N25*'Inputs'!$B$20</x:f>
        <x:v>0</x:v>
      </x:c>
      <x:c r="P25" s="34" t="n">
        <x:f>SUM(I25:J25)+M25+O25</x:f>
        <x:v>265</x:v>
      </x:c>
      <x:c r="Q25" s="32" t="n">
        <x:f>IF(F25&lt;='Inputs'!$B$7,0,IF(F25&lt;='Inputs'!$B$8,'Inputs'!$B$10,IF(F25&lt;='Inputs'!$B$9,'Inputs'!$B$11,'Inputs'!$B$12)))</x:f>
        <x:v>0</x:v>
      </x:c>
      <x:c r="R25" s="32" t="n">
        <x:f>'Inputs'!$B$6+Q25+D25*'Inputs'!$B$13</x:f>
        <x:v>30</x:v>
      </x:c>
      <x:c r="S25" s="32" t="n">
        <x:f>IF(C25&gt;='Inputs'!$B$32,'Case Inputs'!$L$3,0)</x:f>
        <x:v>50</x:v>
      </x:c>
      <x:c r="T25" s="32" t="n">
        <x:f>(M25+O25)*'Inputs'!$B$17+(K25*'Inputs'!$B$28+N25*'Inputs'!$B$29)*'Inputs'!$B$18+O25*'Inputs'!$B$19</x:f>
        <x:v>0</x:v>
      </x:c>
      <x:c r="U25" s="34" t="n">
        <x:f>SUM(R25:T25)</x:f>
        <x:v>80</x:v>
      </x:c>
      <x:c r="V25" s="34" t="n">
        <x:f>P25-U25</x:f>
        <x:v>185</x:v>
      </x:c>
      <x:c r="W25" s="28" t="n">
        <x:f>IF(P25=0,"",V25/P25)</x:f>
        <x:v>0.6981132075471698</x:v>
      </x:c>
      <x:c r="X25" s="32" t="n">
        <x:f>'Inputs'!$B$21</x:f>
        <x:v>100</x:v>
      </x:c>
      <x:c r="Y25" s="32" t="n">
        <x:f>IF(OR(MONTH(B25)&gt;=9,MONTH(B25)&lt;=4),'Case Inputs'!$N$3,'Case Inputs'!$O$3)</x:f>
        <x:v>50</x:v>
      </x:c>
      <x:c r="Z25" s="32" t="n">
        <x:f>IF(C25&gt;='Inputs'!$B$32,'Case Inputs'!$P$3,0)</x:f>
        <x:v>200</x:v>
      </x:c>
      <x:c r="AA25" s="32" t="n">
        <x:f>IF(C25=1,'Case Inputs'!$M$3*'Inputs'!$B$30,IF(C25=2,'Case Inputs'!$M$3*'Inputs'!$B$31,0))</x:f>
        <x:v>0</x:v>
      </x:c>
      <x:c r="AB25" s="34" t="n">
        <x:f>V25-SUM(X25:AA25)</x:f>
        <x:v>-165</x:v>
      </x:c>
      <x:c r="AC25" s="32" t="n">
        <x:f>IF(C25&gt;'Inputs'!$B$24,INDEX($I$2:$I$25,MAX(1,C25-'Inputs'!$B$24)),0)+IF(C25&gt;'Inputs'!$B$25,INDEX($J$2:$J$25,MAX(1,C25-'Inputs'!$B$25)),0)+M25+O25</x:f>
        <x:v>80</x:v>
      </x:c>
      <x:c r="AD25" s="34" t="n">
        <x:f>U25+SUM(X25:AA25)</x:f>
        <x:v>430</x:v>
      </x:c>
      <x:c r="AE25" s="34" t="n">
        <x:f>AC25-AD25</x:f>
        <x:v>-350</x:v>
      </x:c>
      <x:c r="AF25" s="34" t="n">
        <x:f>SUM($AE$2:AE25)</x:f>
        <x:v>12401.15</x:v>
      </x:c>
      <x:c r="AG25" s="32" t="n">
        <x:f>'Inputs'!$B$22*'Inputs'!$B$23</x:f>
        <x:v>4000</x:v>
      </x:c>
      <x:c r="AH25" s="34" t="n">
        <x:f>AB25-AG25</x:f>
        <x:v>-4165</x:v>
      </x:c>
    </x:row>
  </x:sheetData>
  <x:conditionalFormatting sqref="AF2:AF25">
    <x:cfRule type="cellIs" dxfId="1" priority="1" operator="lessThan">
      <x:formula>0</x:formula>
    </x:cfRule>
  </x:conditionalFormatting>
  <x:pageMargins left="0.7" right="0.7" top="0.75" bottom="0.75" header="0.3" footer="0.3"/>
  <x:legacyDrawing xmlns:r="http://schemas.openxmlformats.org/officeDocument/2006/relationships" r:id="R1589a5228add4ead"/>
  <x:tableParts count="1">
    <x:tablePart xmlns:r="http://schemas.openxmlformats.org/officeDocument/2006/relationships" r:id="Rf281fb3e18784336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  <x:col min="23" max="23" width="17" hidden="0" customWidth="1"/>
    <x:col min="24" max="24" width="17" hidden="0" customWidth="1"/>
    <x:col min="25" max="25" width="17" hidden="0" customWidth="1"/>
    <x:col min="26" max="26" width="17" hidden="0" customWidth="1"/>
    <x:col min="27" max="27" width="17" hidden="0" customWidth="1"/>
    <x:col min="28" max="28" width="17" hidden="0" customWidth="1"/>
    <x:col min="29" max="29" width="17" hidden="0" customWidth="1"/>
    <x:col min="30" max="30" width="17" hidden="0" customWidth="1"/>
    <x:col min="31" max="31" width="17" hidden="0" customWidth="1"/>
    <x:col min="32" max="32" width="17" hidden="0" customWidth="1"/>
    <x:col min="33" max="33" width="17" hidden="0" customWidth="1"/>
    <x:col min="34" max="34" width="17" hidden="0" customWidth="1"/>
  </x:cols>
  <x:sheetData>
    <x:row r="1" ht="42" customHeight="1">
      <x:c r="A1" s="9" t="str">
        <x:v>Case</x:v>
      </x:c>
      <x:c r="B1" s="9" t="str">
        <x:v>Month</x:v>
      </x:c>
      <x:c r="C1" s="9" t="str">
        <x:v>Index</x:v>
      </x:c>
      <x:c r="D1" s="9" t="str">
        <x:v>MAU</x:v>
      </x:c>
      <x:c r="E1" s="9" t="str">
        <x:v>Pageviews</x:v>
      </x:c>
      <x:c r="F1" s="9" t="str">
        <x:v>CDN requests</x:v>
      </x:c>
      <x:c r="G1" s="9" t="str">
        <x:v>Own-origin GB</x:v>
      </x:c>
      <x:c r="H1" s="9" t="str">
        <x:v>Affiliate clicks</x:v>
      </x:c>
      <x:c r="I1" s="9" t="str">
        <x:v>Affiliate revenue</x:v>
      </x:c>
      <x:c r="J1" s="9" t="str">
        <x:v>Ad revenue</x:v>
      </x:c>
      <x:c r="K1" s="9" t="str">
        <x:v>Sponsor count</x:v>
      </x:c>
      <x:c r="L1" s="9" t="str">
        <x:v>Sponsor unit price</x:v>
      </x:c>
      <x:c r="M1" s="9" t="str">
        <x:v>Sponsor revenue</x:v>
      </x:c>
      <x:c r="N1" s="9" t="str">
        <x:v>Active paid target</x:v>
      </x:c>
      <x:c r="O1" s="9" t="str">
        <x:v>Premium revenue</x:v>
      </x:c>
      <x:c r="P1" s="9" t="str">
        <x:v>Revenue</x:v>
      </x:c>
      <x:c r="Q1" s="9" t="str">
        <x:v>CDN upgrade</x:v>
      </x:c>
      <x:c r="R1" s="9" t="str">
        <x:v>Tech cost</x:v>
      </x:c>
      <x:c r="S1" s="9" t="str">
        <x:v>Rights budget</x:v>
      </x:c>
      <x:c r="T1" s="9" t="str">
        <x:v>Payment fees</x:v>
      </x:c>
      <x:c r="U1" s="9" t="str">
        <x:v>Direct cost</x:v>
      </x:c>
      <x:c r="V1" s="9" t="str">
        <x:v>Gross profit</x:v>
      </x:c>
      <x:c r="W1" s="9" t="str">
        <x:v>Gross margin</x:v>
      </x:c>
      <x:c r="X1" s="9" t="str">
        <x:v>Admin</x:v>
      </x:c>
      <x:c r="Y1" s="9" t="str">
        <x:v>Marketing</x:v>
      </x:c>
      <x:c r="Z1" s="9" t="str">
        <x:v>Contractors</x:v>
      </x:c>
      <x:c r="AA1" s="9" t="str">
        <x:v>Setup</x:v>
      </x:c>
      <x:c r="AB1" s="9" t="str">
        <x:v>Operating result</x:v>
      </x:c>
      <x:c r="AC1" s="9" t="str">
        <x:v>Cash receipts</x:v>
      </x:c>
      <x:c r="AD1" s="9" t="str">
        <x:v>Cash outflow</x:v>
      </x:c>
      <x:c r="AE1" s="9" t="str">
        <x:v>Net cash</x:v>
      </x:c>
      <x:c r="AF1" s="9" t="str">
        <x:v>Cumulative cash</x:v>
      </x:c>
      <x:c r="AG1" s="9" t="str">
        <x:v>Founder opportunity cost</x:v>
      </x:c>
      <x:c r="AH1" s="9" t="str">
        <x:v>After founder time</x:v>
      </x:c>
    </x:row>
    <x:row r="2" ht="32" customHeight="1">
      <x:c r="A2" s="4" t="str">
        <x:v>Breakout</x:v>
      </x:c>
      <x:c r="B2" s="22" t="n">
        <x:v>46266</x:v>
      </x:c>
      <x:c r="C2" s="4" t="n">
        <x:v>1</x:v>
      </x:c>
      <x:c r="D2" s="24" t="n">
        <x:v>1000</x:v>
      </x:c>
      <x:c r="E2" s="30" t="n">
        <x:f>D2*'Inputs'!$B$2*'Inputs'!$B$3</x:f>
        <x:v>5500</x:v>
      </x:c>
      <x:c r="F2" s="30" t="n">
        <x:f>E2*'Inputs'!$B$4</x:f>
        <x:v>44000</x:v>
      </x:c>
      <x:c r="G2" s="30" t="n">
        <x:f>E2*'Inputs'!$B$5/'Inputs'!$B$26</x:f>
        <x:v>1.9249999999999998</x:v>
      </x:c>
      <x:c r="H2" s="30" t="n">
        <x:f>IF(C2&gt;='Case Inputs'!$G$4,D2*'Case Inputs'!$B$4,0)</x:f>
        <x:v>0</x:v>
      </x:c>
      <x:c r="I2" s="32" t="n">
        <x:f>H2*'Case Inputs'!$C$4*'Case Inputs'!$D$4*'Case Inputs'!$E$4</x:f>
        <x:v>0</x:v>
      </x:c>
      <x:c r="J2" s="32" t="n">
        <x:f>IF(AND(C2&gt;='Case Inputs'!$F$4,D2&gt;='Inputs'!$B$16),E2*'Inputs'!$B$14*'Inputs'!$B$15/'Inputs'!$B$27,0)</x:f>
        <x:v>0</x:v>
      </x:c>
      <x:c r="K2" s="24" t="n">
        <x:v>0</x:v>
      </x:c>
      <x:c r="L2" s="32" t="n">
        <x:f>IF(C2&lt;='Inputs'!$B$33,'Case Inputs'!$J$4,'Case Inputs'!$K$4)</x:f>
        <x:v>250</x:v>
      </x:c>
      <x:c r="M2" s="34" t="n">
        <x:f>K2*L2</x:f>
        <x:v>0</x:v>
      </x:c>
      <x:c r="N2" s="25" t="n">
        <x:f>IF(C2&gt;='Case Inputs'!$H$4,D2*'Case Inputs'!$I$4,0)</x:f>
        <x:v>0</x:v>
      </x:c>
      <x:c r="O2" s="32" t="n">
        <x:f>N2*'Inputs'!$B$20</x:f>
        <x:v>0</x:v>
      </x:c>
      <x:c r="P2" s="34" t="n">
        <x:f>SUM(I2:J2)+M2+O2</x:f>
        <x:v>0</x:v>
      </x:c>
      <x:c r="Q2" s="32" t="n">
        <x:f>IF(F2&lt;='Inputs'!$B$7,0,IF(F2&lt;='Inputs'!$B$8,'Inputs'!$B$10,IF(F2&lt;='Inputs'!$B$9,'Inputs'!$B$11,'Inputs'!$B$12)))</x:f>
        <x:v>0</x:v>
      </x:c>
      <x:c r="R2" s="32" t="n">
        <x:f>'Inputs'!$B$6+Q2+D2*'Inputs'!$B$13</x:f>
        <x:v>21</x:v>
      </x:c>
      <x:c r="S2" s="32" t="n">
        <x:f>IF(C2&gt;='Inputs'!$B$32,'Case Inputs'!$L$4,0)</x:f>
        <x:v>0</x:v>
      </x:c>
      <x:c r="T2" s="32" t="n">
        <x:f>(M2+O2)*'Inputs'!$B$17+(K2*'Inputs'!$B$28+N2*'Inputs'!$B$29)*'Inputs'!$B$18+O2*'Inputs'!$B$19</x:f>
        <x:v>0</x:v>
      </x:c>
      <x:c r="U2" s="34" t="n">
        <x:f>SUM(R2:T2)</x:f>
        <x:v>21</x:v>
      </x:c>
      <x:c r="V2" s="34" t="n">
        <x:f>P2-U2</x:f>
        <x:v>-21</x:v>
      </x:c>
      <x:c r="W2" s="28" t="str">
        <x:f>IF(P2=0,"",V2/P2)</x:f>
      </x:c>
      <x:c r="X2" s="32" t="n">
        <x:f>'Inputs'!$B$21</x:f>
        <x:v>100</x:v>
      </x:c>
      <x:c r="Y2" s="32" t="n">
        <x:f>IF(OR(MONTH(B2)&gt;=9,MONTH(B2)&lt;=4),'Case Inputs'!$N$4,'Case Inputs'!$O$4)</x:f>
        <x:v>1500</x:v>
      </x:c>
      <x:c r="Z2" s="32" t="n">
        <x:f>IF(C2&gt;='Inputs'!$B$32,'Case Inputs'!$P$4,0)</x:f>
        <x:v>0</x:v>
      </x:c>
      <x:c r="AA2" s="32" t="n">
        <x:f>IF(C2=1,'Case Inputs'!$M$4*'Inputs'!$B$30,IF(C2=2,'Case Inputs'!$M$4*'Inputs'!$B$31,0))</x:f>
        <x:v>3150</x:v>
      </x:c>
      <x:c r="AB2" s="34" t="n">
        <x:f>V2-SUM(X2:AA2)</x:f>
        <x:v>-4771</x:v>
      </x:c>
      <x:c r="AC2" s="32" t="n">
        <x:f>IF(C2&gt;'Inputs'!$B$24,INDEX($I$2:$I$25,MAX(1,C2-'Inputs'!$B$24)),0)+IF(C2&gt;'Inputs'!$B$25,INDEX($J$2:$J$25,MAX(1,C2-'Inputs'!$B$25)),0)+M2+O2</x:f>
        <x:v>0</x:v>
      </x:c>
      <x:c r="AD2" s="34" t="n">
        <x:f>U2+SUM(X2:AA2)</x:f>
        <x:v>4771</x:v>
      </x:c>
      <x:c r="AE2" s="34" t="n">
        <x:f>AC2-AD2</x:f>
        <x:v>-4771</x:v>
      </x:c>
      <x:c r="AF2" s="34" t="n">
        <x:f>SUM($AE$2:AE2)</x:f>
        <x:v>-4771</x:v>
      </x:c>
      <x:c r="AG2" s="32" t="n">
        <x:f>'Inputs'!$B$22*'Inputs'!$B$23</x:f>
        <x:v>4000</x:v>
      </x:c>
      <x:c r="AH2" s="34" t="n">
        <x:f>AB2-AG2</x:f>
        <x:v>-8771</x:v>
      </x:c>
    </x:row>
    <x:row r="3" ht="32" customHeight="1">
      <x:c r="A3" s="4" t="str">
        <x:v>Breakout</x:v>
      </x:c>
      <x:c r="B3" s="22" t="n">
        <x:v>46296</x:v>
      </x:c>
      <x:c r="C3" s="4" t="n">
        <x:v>2</x:v>
      </x:c>
      <x:c r="D3" s="24" t="n">
        <x:v>3000</x:v>
      </x:c>
      <x:c r="E3" s="30" t="n">
        <x:f>D3*'Inputs'!$B$2*'Inputs'!$B$3</x:f>
        <x:v>16500</x:v>
      </x:c>
      <x:c r="F3" s="30" t="n">
        <x:f>E3*'Inputs'!$B$4</x:f>
        <x:v>132000</x:v>
      </x:c>
      <x:c r="G3" s="30" t="n">
        <x:f>E3*'Inputs'!$B$5/'Inputs'!$B$26</x:f>
        <x:v>5.775</x:v>
      </x:c>
      <x:c r="H3" s="30" t="n">
        <x:f>IF(C3&gt;='Case Inputs'!$G$4,D3*'Case Inputs'!$B$4,0)</x:f>
        <x:v>0</x:v>
      </x:c>
      <x:c r="I3" s="32" t="n">
        <x:f>H3*'Case Inputs'!$C$4*'Case Inputs'!$D$4*'Case Inputs'!$E$4</x:f>
        <x:v>0</x:v>
      </x:c>
      <x:c r="J3" s="32" t="n">
        <x:f>IF(AND(C3&gt;='Case Inputs'!$F$4,D3&gt;='Inputs'!$B$16),E3*'Inputs'!$B$14*'Inputs'!$B$15/'Inputs'!$B$27,0)</x:f>
        <x:v>0</x:v>
      </x:c>
      <x:c r="K3" s="24" t="n">
        <x:v>0</x:v>
      </x:c>
      <x:c r="L3" s="32" t="n">
        <x:f>IF(C3&lt;='Inputs'!$B$33,'Case Inputs'!$J$4,'Case Inputs'!$K$4)</x:f>
        <x:v>250</x:v>
      </x:c>
      <x:c r="M3" s="34" t="n">
        <x:f>K3*L3</x:f>
        <x:v>0</x:v>
      </x:c>
      <x:c r="N3" s="25" t="n">
        <x:f>IF(C3&gt;='Case Inputs'!$H$4,D3*'Case Inputs'!$I$4,0)</x:f>
        <x:v>0</x:v>
      </x:c>
      <x:c r="O3" s="32" t="n">
        <x:f>N3*'Inputs'!$B$20</x:f>
        <x:v>0</x:v>
      </x:c>
      <x:c r="P3" s="34" t="n">
        <x:f>SUM(I3:J3)+M3+O3</x:f>
        <x:v>0</x:v>
      </x:c>
      <x:c r="Q3" s="32" t="n">
        <x:f>IF(F3&lt;='Inputs'!$B$7,0,IF(F3&lt;='Inputs'!$B$8,'Inputs'!$B$10,IF(F3&lt;='Inputs'!$B$9,'Inputs'!$B$11,'Inputs'!$B$12)))</x:f>
        <x:v>0</x:v>
      </x:c>
      <x:c r="R3" s="32" t="n">
        <x:f>'Inputs'!$B$6+Q3+D3*'Inputs'!$B$13</x:f>
        <x:v>23</x:v>
      </x:c>
      <x:c r="S3" s="32" t="n">
        <x:f>IF(C3&gt;='Inputs'!$B$32,'Case Inputs'!$L$4,0)</x:f>
        <x:v>0</x:v>
      </x:c>
      <x:c r="T3" s="32" t="n">
        <x:f>(M3+O3)*'Inputs'!$B$17+(K3*'Inputs'!$B$28+N3*'Inputs'!$B$29)*'Inputs'!$B$18+O3*'Inputs'!$B$19</x:f>
        <x:v>0</x:v>
      </x:c>
      <x:c r="U3" s="34" t="n">
        <x:f>SUM(R3:T3)</x:f>
        <x:v>23</x:v>
      </x:c>
      <x:c r="V3" s="34" t="n">
        <x:f>P3-U3</x:f>
        <x:v>-23</x:v>
      </x:c>
      <x:c r="W3" s="28" t="str">
        <x:f>IF(P3=0,"",V3/P3)</x:f>
      </x:c>
      <x:c r="X3" s="32" t="n">
        <x:f>'Inputs'!$B$21</x:f>
        <x:v>100</x:v>
      </x:c>
      <x:c r="Y3" s="32" t="n">
        <x:f>IF(OR(MONTH(B3)&gt;=9,MONTH(B3)&lt;=4),'Case Inputs'!$N$4,'Case Inputs'!$O$4)</x:f>
        <x:v>1500</x:v>
      </x:c>
      <x:c r="Z3" s="32" t="n">
        <x:f>IF(C3&gt;='Inputs'!$B$32,'Case Inputs'!$P$4,0)</x:f>
        <x:v>0</x:v>
      </x:c>
      <x:c r="AA3" s="32" t="n">
        <x:f>IF(C3=1,'Case Inputs'!$M$4*'Inputs'!$B$30,IF(C3=2,'Case Inputs'!$M$4*'Inputs'!$B$31,0))</x:f>
        <x:v>1350</x:v>
      </x:c>
      <x:c r="AB3" s="34" t="n">
        <x:f>V3-SUM(X3:AA3)</x:f>
        <x:v>-2973</x:v>
      </x:c>
      <x:c r="AC3" s="32" t="n">
        <x:f>IF(C3&gt;'Inputs'!$B$24,INDEX($I$2:$I$25,MAX(1,C3-'Inputs'!$B$24)),0)+IF(C3&gt;'Inputs'!$B$25,INDEX($J$2:$J$25,MAX(1,C3-'Inputs'!$B$25)),0)+M3+O3</x:f>
        <x:v>0</x:v>
      </x:c>
      <x:c r="AD3" s="34" t="n">
        <x:f>U3+SUM(X3:AA3)</x:f>
        <x:v>2973</x:v>
      </x:c>
      <x:c r="AE3" s="34" t="n">
        <x:f>AC3-AD3</x:f>
        <x:v>-2973</x:v>
      </x:c>
      <x:c r="AF3" s="34" t="n">
        <x:f>SUM($AE$2:AE3)</x:f>
        <x:v>-7744</x:v>
      </x:c>
      <x:c r="AG3" s="32" t="n">
        <x:f>'Inputs'!$B$22*'Inputs'!$B$23</x:f>
        <x:v>4000</x:v>
      </x:c>
      <x:c r="AH3" s="34" t="n">
        <x:f>AB3-AG3</x:f>
        <x:v>-6973</x:v>
      </x:c>
    </x:row>
    <x:row r="4" ht="32" customHeight="1">
      <x:c r="A4" s="4" t="str">
        <x:v>Breakout</x:v>
      </x:c>
      <x:c r="B4" s="22" t="n">
        <x:v>46327</x:v>
      </x:c>
      <x:c r="C4" s="4" t="n">
        <x:v>3</x:v>
      </x:c>
      <x:c r="D4" s="24" t="n">
        <x:v>10000</x:v>
      </x:c>
      <x:c r="E4" s="30" t="n">
        <x:f>D4*'Inputs'!$B$2*'Inputs'!$B$3</x:f>
        <x:v>55000.00000000001</x:v>
      </x:c>
      <x:c r="F4" s="30" t="n">
        <x:f>E4*'Inputs'!$B$4</x:f>
        <x:v>440000.00000000006</x:v>
      </x:c>
      <x:c r="G4" s="30" t="n">
        <x:f>E4*'Inputs'!$B$5/'Inputs'!$B$26</x:f>
        <x:v>19.25</x:v>
      </x:c>
      <x:c r="H4" s="30" t="n">
        <x:f>IF(C4&gt;='Case Inputs'!$G$4,D4*'Case Inputs'!$B$4,0)</x:f>
        <x:v>400</x:v>
      </x:c>
      <x:c r="I4" s="32" t="n">
        <x:f>H4*'Case Inputs'!$C$4*'Case Inputs'!$D$4*'Case Inputs'!$E$4</x:f>
        <x:v>255</x:v>
      </x:c>
      <x:c r="J4" s="32" t="n">
        <x:f>IF(AND(C4&gt;='Case Inputs'!$F$4,D4&gt;='Inputs'!$B$16),E4*'Inputs'!$B$14*'Inputs'!$B$15/'Inputs'!$B$27,0)</x:f>
        <x:v>0</x:v>
      </x:c>
      <x:c r="K4" s="24" t="n">
        <x:v>1</x:v>
      </x:c>
      <x:c r="L4" s="32" t="n">
        <x:f>IF(C4&lt;='Inputs'!$B$33,'Case Inputs'!$J$4,'Case Inputs'!$K$4)</x:f>
        <x:v>250</x:v>
      </x:c>
      <x:c r="M4" s="34" t="n">
        <x:f>K4*L4</x:f>
        <x:v>250</x:v>
      </x:c>
      <x:c r="N4" s="25" t="n">
        <x:f>IF(C4&gt;='Case Inputs'!$H$4,D4*'Case Inputs'!$I$4,0)</x:f>
        <x:v>0</x:v>
      </x:c>
      <x:c r="O4" s="32" t="n">
        <x:f>N4*'Inputs'!$B$20</x:f>
        <x:v>0</x:v>
      </x:c>
      <x:c r="P4" s="34" t="n">
        <x:f>SUM(I4:J4)+M4+O4</x:f>
        <x:v>505</x:v>
      </x:c>
      <x:c r="Q4" s="32" t="n">
        <x:f>IF(F4&lt;='Inputs'!$B$7,0,IF(F4&lt;='Inputs'!$B$8,'Inputs'!$B$10,IF(F4&lt;='Inputs'!$B$9,'Inputs'!$B$11,'Inputs'!$B$12)))</x:f>
        <x:v>0</x:v>
      </x:c>
      <x:c r="R4" s="32" t="n">
        <x:f>'Inputs'!$B$6+Q4+D4*'Inputs'!$B$13</x:f>
        <x:v>30</x:v>
      </x:c>
      <x:c r="S4" s="32" t="n">
        <x:f>IF(C4&gt;='Inputs'!$B$32,'Case Inputs'!$L$4,0)</x:f>
        <x:v>250</x:v>
      </x:c>
      <x:c r="T4" s="32" t="n">
        <x:f>(M4+O4)*'Inputs'!$B$17+(K4*'Inputs'!$B$28+N4*'Inputs'!$B$29)*'Inputs'!$B$18+O4*'Inputs'!$B$19</x:f>
        <x:v>7.55</x:v>
      </x:c>
      <x:c r="U4" s="34" t="n">
        <x:f>SUM(R4:T4)</x:f>
        <x:v>287.55</x:v>
      </x:c>
      <x:c r="V4" s="34" t="n">
        <x:f>P4-U4</x:f>
        <x:v>217.45</x:v>
      </x:c>
      <x:c r="W4" s="28" t="n">
        <x:f>IF(P4=0,"",V4/P4)</x:f>
        <x:v>0.4305940594059406</x:v>
      </x:c>
      <x:c r="X4" s="32" t="n">
        <x:f>'Inputs'!$B$21</x:f>
        <x:v>100</x:v>
      </x:c>
      <x:c r="Y4" s="32" t="n">
        <x:f>IF(OR(MONTH(B4)&gt;=9,MONTH(B4)&lt;=4),'Case Inputs'!$N$4,'Case Inputs'!$O$4)</x:f>
        <x:v>1500</x:v>
      </x:c>
      <x:c r="Z4" s="32" t="n">
        <x:f>IF(C4&gt;='Inputs'!$B$32,'Case Inputs'!$P$4,0)</x:f>
        <x:v>1000</x:v>
      </x:c>
      <x:c r="AA4" s="32" t="n">
        <x:f>IF(C4=1,'Case Inputs'!$M$4*'Inputs'!$B$30,IF(C4=2,'Case Inputs'!$M$4*'Inputs'!$B$31,0))</x:f>
        <x:v>0</x:v>
      </x:c>
      <x:c r="AB4" s="34" t="n">
        <x:f>V4-SUM(X4:AA4)</x:f>
        <x:v>-2382.55</x:v>
      </x:c>
      <x:c r="AC4" s="32" t="n">
        <x:f>IF(C4&gt;'Inputs'!$B$24,INDEX($I$2:$I$25,MAX(1,C4-'Inputs'!$B$24)),0)+IF(C4&gt;'Inputs'!$B$25,INDEX($J$2:$J$25,MAX(1,C4-'Inputs'!$B$25)),0)+M4+O4</x:f>
        <x:v>250</x:v>
      </x:c>
      <x:c r="AD4" s="34" t="n">
        <x:f>U4+SUM(X4:AA4)</x:f>
        <x:v>2887.55</x:v>
      </x:c>
      <x:c r="AE4" s="34" t="n">
        <x:f>AC4-AD4</x:f>
        <x:v>-2637.55</x:v>
      </x:c>
      <x:c r="AF4" s="34" t="n">
        <x:f>SUM($AE$2:AE4)</x:f>
        <x:v>-10381.55</x:v>
      </x:c>
      <x:c r="AG4" s="32" t="n">
        <x:f>'Inputs'!$B$22*'Inputs'!$B$23</x:f>
        <x:v>4000</x:v>
      </x:c>
      <x:c r="AH4" s="34" t="n">
        <x:f>AB4-AG4</x:f>
        <x:v>-6382.55</x:v>
      </x:c>
    </x:row>
    <x:row r="5" ht="32" customHeight="1">
      <x:c r="A5" s="4" t="str">
        <x:v>Breakout</x:v>
      </x:c>
      <x:c r="B5" s="22" t="n">
        <x:v>46357</x:v>
      </x:c>
      <x:c r="C5" s="4" t="n">
        <x:v>4</x:v>
      </x:c>
      <x:c r="D5" s="24" t="n">
        <x:v>30000</x:v>
      </x:c>
      <x:c r="E5" s="30" t="n">
        <x:f>D5*'Inputs'!$B$2*'Inputs'!$B$3</x:f>
        <x:v>165000</x:v>
      </x:c>
      <x:c r="F5" s="30" t="n">
        <x:f>E5*'Inputs'!$B$4</x:f>
        <x:v>1320000</x:v>
      </x:c>
      <x:c r="G5" s="30" t="n">
        <x:f>E5*'Inputs'!$B$5/'Inputs'!$B$26</x:f>
        <x:v>57.74999999999999</x:v>
      </x:c>
      <x:c r="H5" s="30" t="n">
        <x:f>IF(C5&gt;='Case Inputs'!$G$4,D5*'Case Inputs'!$B$4,0)</x:f>
        <x:v>1200</x:v>
      </x:c>
      <x:c r="I5" s="32" t="n">
        <x:f>H5*'Case Inputs'!$C$4*'Case Inputs'!$D$4*'Case Inputs'!$E$4</x:f>
        <x:v>765</x:v>
      </x:c>
      <x:c r="J5" s="32" t="n">
        <x:f>IF(AND(C5&gt;='Case Inputs'!$F$4,D5&gt;='Inputs'!$B$16),E5*'Inputs'!$B$14*'Inputs'!$B$15/'Inputs'!$B$27,0)</x:f>
        <x:v>0</x:v>
      </x:c>
      <x:c r="K5" s="24" t="n">
        <x:v>2</x:v>
      </x:c>
      <x:c r="L5" s="32" t="n">
        <x:f>IF(C5&lt;='Inputs'!$B$33,'Case Inputs'!$J$4,'Case Inputs'!$K$4)</x:f>
        <x:v>250</x:v>
      </x:c>
      <x:c r="M5" s="34" t="n">
        <x:f>K5*L5</x:f>
        <x:v>500</x:v>
      </x:c>
      <x:c r="N5" s="25" t="n">
        <x:f>IF(C5&gt;='Case Inputs'!$H$4,D5*'Case Inputs'!$I$4,0)</x:f>
        <x:v>0</x:v>
      </x:c>
      <x:c r="O5" s="32" t="n">
        <x:f>N5*'Inputs'!$B$20</x:f>
        <x:v>0</x:v>
      </x:c>
      <x:c r="P5" s="34" t="n">
        <x:f>SUM(I5:J5)+M5+O5</x:f>
        <x:v>1265</x:v>
      </x:c>
      <x:c r="Q5" s="32" t="n">
        <x:f>IF(F5&lt;='Inputs'!$B$7,0,IF(F5&lt;='Inputs'!$B$8,'Inputs'!$B$10,IF(F5&lt;='Inputs'!$B$9,'Inputs'!$B$11,'Inputs'!$B$12)))</x:f>
        <x:v>20</x:v>
      </x:c>
      <x:c r="R5" s="32" t="n">
        <x:f>'Inputs'!$B$6+Q5+D5*'Inputs'!$B$13</x:f>
        <x:v>70</x:v>
      </x:c>
      <x:c r="S5" s="32" t="n">
        <x:f>IF(C5&gt;='Inputs'!$B$32,'Case Inputs'!$L$4,0)</x:f>
        <x:v>250</x:v>
      </x:c>
      <x:c r="T5" s="32" t="n">
        <x:f>(M5+O5)*'Inputs'!$B$17+(K5*'Inputs'!$B$28+N5*'Inputs'!$B$29)*'Inputs'!$B$18+O5*'Inputs'!$B$19</x:f>
        <x:v>15.1</x:v>
      </x:c>
      <x:c r="U5" s="34" t="n">
        <x:f>SUM(R5:T5)</x:f>
        <x:v>335.1</x:v>
      </x:c>
      <x:c r="V5" s="34" t="n">
        <x:f>P5-U5</x:f>
        <x:v>929.9</x:v>
      </x:c>
      <x:c r="W5" s="28" t="n">
        <x:f>IF(P5=0,"",V5/P5)</x:f>
        <x:v>0.7350988142292489</x:v>
      </x:c>
      <x:c r="X5" s="32" t="n">
        <x:f>'Inputs'!$B$21</x:f>
        <x:v>100</x:v>
      </x:c>
      <x:c r="Y5" s="32" t="n">
        <x:f>IF(OR(MONTH(B5)&gt;=9,MONTH(B5)&lt;=4),'Case Inputs'!$N$4,'Case Inputs'!$O$4)</x:f>
        <x:v>1500</x:v>
      </x:c>
      <x:c r="Z5" s="32" t="n">
        <x:f>IF(C5&gt;='Inputs'!$B$32,'Case Inputs'!$P$4,0)</x:f>
        <x:v>1000</x:v>
      </x:c>
      <x:c r="AA5" s="32" t="n">
        <x:f>IF(C5=1,'Case Inputs'!$M$4*'Inputs'!$B$30,IF(C5=2,'Case Inputs'!$M$4*'Inputs'!$B$31,0))</x:f>
        <x:v>0</x:v>
      </x:c>
      <x:c r="AB5" s="34" t="n">
        <x:f>V5-SUM(X5:AA5)</x:f>
        <x:v>-1670.1</x:v>
      </x:c>
      <x:c r="AC5" s="32" t="n">
        <x:f>IF(C5&gt;'Inputs'!$B$24,INDEX($I$2:$I$25,MAX(1,C5-'Inputs'!$B$24)),0)+IF(C5&gt;'Inputs'!$B$25,INDEX($J$2:$J$25,MAX(1,C5-'Inputs'!$B$25)),0)+M5+O5</x:f>
        <x:v>500</x:v>
      </x:c>
      <x:c r="AD5" s="34" t="n">
        <x:f>U5+SUM(X5:AA5)</x:f>
        <x:v>2935.1</x:v>
      </x:c>
      <x:c r="AE5" s="34" t="n">
        <x:f>AC5-AD5</x:f>
        <x:v>-2435.1</x:v>
      </x:c>
      <x:c r="AF5" s="34" t="n">
        <x:f>SUM($AE$2:AE5)</x:f>
        <x:v>-12816.65</x:v>
      </x:c>
      <x:c r="AG5" s="32" t="n">
        <x:f>'Inputs'!$B$22*'Inputs'!$B$23</x:f>
        <x:v>4000</x:v>
      </x:c>
      <x:c r="AH5" s="34" t="n">
        <x:f>AB5-AG5</x:f>
        <x:v>-5670.1</x:v>
      </x:c>
    </x:row>
    <x:row r="6" ht="32" customHeight="1">
      <x:c r="A6" s="4" t="str">
        <x:v>Breakout</x:v>
      </x:c>
      <x:c r="B6" s="22" t="n">
        <x:v>46388</x:v>
      </x:c>
      <x:c r="C6" s="4" t="n">
        <x:v>5</x:v>
      </x:c>
      <x:c r="D6" s="24" t="n">
        <x:v>60000</x:v>
      </x:c>
      <x:c r="E6" s="30" t="n">
        <x:f>D6*'Inputs'!$B$2*'Inputs'!$B$3</x:f>
        <x:v>330000</x:v>
      </x:c>
      <x:c r="F6" s="30" t="n">
        <x:f>E6*'Inputs'!$B$4</x:f>
        <x:v>2640000</x:v>
      </x:c>
      <x:c r="G6" s="30" t="n">
        <x:f>E6*'Inputs'!$B$5/'Inputs'!$B$26</x:f>
        <x:v>115.49999999999999</x:v>
      </x:c>
      <x:c r="H6" s="30" t="n">
        <x:f>IF(C6&gt;='Case Inputs'!$G$4,D6*'Case Inputs'!$B$4,0)</x:f>
        <x:v>2400</x:v>
      </x:c>
      <x:c r="I6" s="32" t="n">
        <x:f>H6*'Case Inputs'!$C$4*'Case Inputs'!$D$4*'Case Inputs'!$E$4</x:f>
        <x:v>1530</x:v>
      </x:c>
      <x:c r="J6" s="32" t="n">
        <x:f>IF(AND(C6&gt;='Case Inputs'!$F$4,D6&gt;='Inputs'!$B$16),E6*'Inputs'!$B$14*'Inputs'!$B$15/'Inputs'!$B$27,0)</x:f>
        <x:v>990</x:v>
      </x:c>
      <x:c r="K6" s="24" t="n">
        <x:v>4</x:v>
      </x:c>
      <x:c r="L6" s="32" t="n">
        <x:f>IF(C6&lt;='Inputs'!$B$33,'Case Inputs'!$J$4,'Case Inputs'!$K$4)</x:f>
        <x:v>250</x:v>
      </x:c>
      <x:c r="M6" s="34" t="n">
        <x:f>K6*L6</x:f>
        <x:v>1000</x:v>
      </x:c>
      <x:c r="N6" s="25" t="n">
        <x:f>IF(C6&gt;='Case Inputs'!$H$4,D6*'Case Inputs'!$I$4,0)</x:f>
        <x:v>0</x:v>
      </x:c>
      <x:c r="O6" s="32" t="n">
        <x:f>N6*'Inputs'!$B$20</x:f>
        <x:v>0</x:v>
      </x:c>
      <x:c r="P6" s="34" t="n">
        <x:f>SUM(I6:J6)+M6+O6</x:f>
        <x:v>3520</x:v>
      </x:c>
      <x:c r="Q6" s="32" t="n">
        <x:f>IF(F6&lt;='Inputs'!$B$7,0,IF(F6&lt;='Inputs'!$B$8,'Inputs'!$B$10,IF(F6&lt;='Inputs'!$B$9,'Inputs'!$B$11,'Inputs'!$B$12)))</x:f>
        <x:v>20</x:v>
      </x:c>
      <x:c r="R6" s="32" t="n">
        <x:f>'Inputs'!$B$6+Q6+D6*'Inputs'!$B$13</x:f>
        <x:v>100</x:v>
      </x:c>
      <x:c r="S6" s="32" t="n">
        <x:f>IF(C6&gt;='Inputs'!$B$32,'Case Inputs'!$L$4,0)</x:f>
        <x:v>250</x:v>
      </x:c>
      <x:c r="T6" s="32" t="n">
        <x:f>(M6+O6)*'Inputs'!$B$17+(K6*'Inputs'!$B$28+N6*'Inputs'!$B$29)*'Inputs'!$B$18+O6*'Inputs'!$B$19</x:f>
        <x:v>30.2</x:v>
      </x:c>
      <x:c r="U6" s="34" t="n">
        <x:f>SUM(R6:T6)</x:f>
        <x:v>380.2</x:v>
      </x:c>
      <x:c r="V6" s="34" t="n">
        <x:f>P6-U6</x:f>
        <x:v>3139.8</x:v>
      </x:c>
      <x:c r="W6" s="28" t="n">
        <x:f>IF(P6=0,"",V6/P6)</x:f>
        <x:v>0.8919886363636365</x:v>
      </x:c>
      <x:c r="X6" s="32" t="n">
        <x:f>'Inputs'!$B$21</x:f>
        <x:v>100</x:v>
      </x:c>
      <x:c r="Y6" s="32" t="n">
        <x:f>IF(OR(MONTH(B6)&gt;=9,MONTH(B6)&lt;=4),'Case Inputs'!$N$4,'Case Inputs'!$O$4)</x:f>
        <x:v>1500</x:v>
      </x:c>
      <x:c r="Z6" s="32" t="n">
        <x:f>IF(C6&gt;='Inputs'!$B$32,'Case Inputs'!$P$4,0)</x:f>
        <x:v>1000</x:v>
      </x:c>
      <x:c r="AA6" s="32" t="n">
        <x:f>IF(C6=1,'Case Inputs'!$M$4*'Inputs'!$B$30,IF(C6=2,'Case Inputs'!$M$4*'Inputs'!$B$31,0))</x:f>
        <x:v>0</x:v>
      </x:c>
      <x:c r="AB6" s="34" t="n">
        <x:f>V6-SUM(X6:AA6)</x:f>
        <x:v>539.8000000000002</x:v>
      </x:c>
      <x:c r="AC6" s="32" t="n">
        <x:f>IF(C6&gt;'Inputs'!$B$24,INDEX($I$2:$I$25,MAX(1,C6-'Inputs'!$B$24)),0)+IF(C6&gt;'Inputs'!$B$25,INDEX($J$2:$J$25,MAX(1,C6-'Inputs'!$B$25)),0)+M6+O6</x:f>
        <x:v>1255</x:v>
      </x:c>
      <x:c r="AD6" s="34" t="n">
        <x:f>U6+SUM(X6:AA6)</x:f>
        <x:v>2980.2</x:v>
      </x:c>
      <x:c r="AE6" s="34" t="n">
        <x:f>AC6-AD6</x:f>
        <x:v>-1725.1999999999998</x:v>
      </x:c>
      <x:c r="AF6" s="34" t="n">
        <x:f>SUM($AE$2:AE6)</x:f>
        <x:v>-14541.849999999999</x:v>
      </x:c>
      <x:c r="AG6" s="32" t="n">
        <x:f>'Inputs'!$B$22*'Inputs'!$B$23</x:f>
        <x:v>4000</x:v>
      </x:c>
      <x:c r="AH6" s="34" t="n">
        <x:f>AB6-AG6</x:f>
        <x:v>-3460.2</x:v>
      </x:c>
    </x:row>
    <x:row r="7" ht="32" customHeight="1">
      <x:c r="A7" s="4" t="str">
        <x:v>Breakout</x:v>
      </x:c>
      <x:c r="B7" s="22" t="n">
        <x:v>46419</x:v>
      </x:c>
      <x:c r="C7" s="4" t="n">
        <x:v>6</x:v>
      </x:c>
      <x:c r="D7" s="24" t="n">
        <x:v>90000</x:v>
      </x:c>
      <x:c r="E7" s="30" t="n">
        <x:f>D7*'Inputs'!$B$2*'Inputs'!$B$3</x:f>
        <x:v>495000.00000000006</x:v>
      </x:c>
      <x:c r="F7" s="30" t="n">
        <x:f>E7*'Inputs'!$B$4</x:f>
        <x:v>3960000.0000000005</x:v>
      </x:c>
      <x:c r="G7" s="30" t="n">
        <x:f>E7*'Inputs'!$B$5/'Inputs'!$B$26</x:f>
        <x:v>173.25</x:v>
      </x:c>
      <x:c r="H7" s="30" t="n">
        <x:f>IF(C7&gt;='Case Inputs'!$G$4,D7*'Case Inputs'!$B$4,0)</x:f>
        <x:v>3600</x:v>
      </x:c>
      <x:c r="I7" s="32" t="n">
        <x:f>H7*'Case Inputs'!$C$4*'Case Inputs'!$D$4*'Case Inputs'!$E$4</x:f>
        <x:v>2295</x:v>
      </x:c>
      <x:c r="J7" s="32" t="n">
        <x:f>IF(AND(C7&gt;='Case Inputs'!$F$4,D7&gt;='Inputs'!$B$16),E7*'Inputs'!$B$14*'Inputs'!$B$15/'Inputs'!$B$27,0)</x:f>
        <x:v>1485</x:v>
      </x:c>
      <x:c r="K7" s="24" t="n">
        <x:v>6</x:v>
      </x:c>
      <x:c r="L7" s="32" t="n">
        <x:f>IF(C7&lt;='Inputs'!$B$33,'Case Inputs'!$J$4,'Case Inputs'!$K$4)</x:f>
        <x:v>250</x:v>
      </x:c>
      <x:c r="M7" s="34" t="n">
        <x:f>K7*L7</x:f>
        <x:v>1500</x:v>
      </x:c>
      <x:c r="N7" s="25" t="n">
        <x:f>IF(C7&gt;='Case Inputs'!$H$4,D7*'Case Inputs'!$I$4,0)</x:f>
        <x:v>225</x:v>
      </x:c>
      <x:c r="O7" s="32" t="n">
        <x:f>N7*'Inputs'!$B$20</x:f>
        <x:v>1122.75</x:v>
      </x:c>
      <x:c r="P7" s="34" t="n">
        <x:f>SUM(I7:J7)+M7+O7</x:f>
        <x:v>6402.75</x:v>
      </x:c>
      <x:c r="Q7" s="32" t="n">
        <x:f>IF(F7&lt;='Inputs'!$B$7,0,IF(F7&lt;='Inputs'!$B$8,'Inputs'!$B$10,IF(F7&lt;='Inputs'!$B$9,'Inputs'!$B$11,'Inputs'!$B$12)))</x:f>
        <x:v>20</x:v>
      </x:c>
      <x:c r="R7" s="32" t="n">
        <x:f>'Inputs'!$B$6+Q7+D7*'Inputs'!$B$13</x:f>
        <x:v>130</x:v>
      </x:c>
      <x:c r="S7" s="32" t="n">
        <x:f>IF(C7&gt;='Inputs'!$B$32,'Case Inputs'!$L$4,0)</x:f>
        <x:v>250</x:v>
      </x:c>
      <x:c r="T7" s="32" t="n">
        <x:f>(M7+O7)*'Inputs'!$B$17+(K7*'Inputs'!$B$28+N7*'Inputs'!$B$29)*'Inputs'!$B$18+O7*'Inputs'!$B$19</x:f>
        <x:v>153.21900000000002</x:v>
      </x:c>
      <x:c r="U7" s="34" t="n">
        <x:f>SUM(R7:T7)</x:f>
        <x:v>533.219</x:v>
      </x:c>
      <x:c r="V7" s="34" t="n">
        <x:f>P7-U7</x:f>
        <x:v>5869.531</x:v>
      </x:c>
      <x:c r="W7" s="28" t="n">
        <x:f>IF(P7=0,"",V7/P7)</x:f>
        <x:v>0.9167203154894381</x:v>
      </x:c>
      <x:c r="X7" s="32" t="n">
        <x:f>'Inputs'!$B$21</x:f>
        <x:v>100</x:v>
      </x:c>
      <x:c r="Y7" s="32" t="n">
        <x:f>IF(OR(MONTH(B7)&gt;=9,MONTH(B7)&lt;=4),'Case Inputs'!$N$4,'Case Inputs'!$O$4)</x:f>
        <x:v>1500</x:v>
      </x:c>
      <x:c r="Z7" s="32" t="n">
        <x:f>IF(C7&gt;='Inputs'!$B$32,'Case Inputs'!$P$4,0)</x:f>
        <x:v>1000</x:v>
      </x:c>
      <x:c r="AA7" s="32" t="n">
        <x:f>IF(C7=1,'Case Inputs'!$M$4*'Inputs'!$B$30,IF(C7=2,'Case Inputs'!$M$4*'Inputs'!$B$31,0))</x:f>
        <x:v>0</x:v>
      </x:c>
      <x:c r="AB7" s="34" t="n">
        <x:f>V7-SUM(X7:AA7)</x:f>
        <x:v>3269.531</x:v>
      </x:c>
      <x:c r="AC7" s="32" t="n">
        <x:f>IF(C7&gt;'Inputs'!$B$24,INDEX($I$2:$I$25,MAX(1,C7-'Inputs'!$B$24)),0)+IF(C7&gt;'Inputs'!$B$25,INDEX($J$2:$J$25,MAX(1,C7-'Inputs'!$B$25)),0)+M7+O7</x:f>
        <x:v>4377.75</x:v>
      </x:c>
      <x:c r="AD7" s="34" t="n">
        <x:f>U7+SUM(X7:AA7)</x:f>
        <x:v>3133.219</x:v>
      </x:c>
      <x:c r="AE7" s="34" t="n">
        <x:f>AC7-AD7</x:f>
        <x:v>1244.531</x:v>
      </x:c>
      <x:c r="AF7" s="34" t="n">
        <x:f>SUM($AE$2:AE7)</x:f>
        <x:v>-13297.319</x:v>
      </x:c>
      <x:c r="AG7" s="32" t="n">
        <x:f>'Inputs'!$B$22*'Inputs'!$B$23</x:f>
        <x:v>4000</x:v>
      </x:c>
      <x:c r="AH7" s="34" t="n">
        <x:f>AB7-AG7</x:f>
        <x:v>-730.469</x:v>
      </x:c>
    </x:row>
    <x:row r="8" ht="32" customHeight="1">
      <x:c r="A8" s="4" t="str">
        <x:v>Breakout</x:v>
      </x:c>
      <x:c r="B8" s="22" t="n">
        <x:v>46447</x:v>
      </x:c>
      <x:c r="C8" s="4" t="n">
        <x:v>7</x:v>
      </x:c>
      <x:c r="D8" s="24" t="n">
        <x:v>70000</x:v>
      </x:c>
      <x:c r="E8" s="30" t="n">
        <x:f>D8*'Inputs'!$B$2*'Inputs'!$B$3</x:f>
        <x:v>385000.00000000006</x:v>
      </x:c>
      <x:c r="F8" s="30" t="n">
        <x:f>E8*'Inputs'!$B$4</x:f>
        <x:v>3080000.0000000005</x:v>
      </x:c>
      <x:c r="G8" s="30" t="n">
        <x:f>E8*'Inputs'!$B$5/'Inputs'!$B$26</x:f>
        <x:v>134.75</x:v>
      </x:c>
      <x:c r="H8" s="30" t="n">
        <x:f>IF(C8&gt;='Case Inputs'!$G$4,D8*'Case Inputs'!$B$4,0)</x:f>
        <x:v>2800</x:v>
      </x:c>
      <x:c r="I8" s="32" t="n">
        <x:f>H8*'Case Inputs'!$C$4*'Case Inputs'!$D$4*'Case Inputs'!$E$4</x:f>
        <x:v>1785</x:v>
      </x:c>
      <x:c r="J8" s="32" t="n">
        <x:f>IF(AND(C8&gt;='Case Inputs'!$F$4,D8&gt;='Inputs'!$B$16),E8*'Inputs'!$B$14*'Inputs'!$B$15/'Inputs'!$B$27,0)</x:f>
        <x:v>1155.0000000000002</x:v>
      </x:c>
      <x:c r="K8" s="24" t="n">
        <x:v>6</x:v>
      </x:c>
      <x:c r="L8" s="32" t="n">
        <x:f>IF(C8&lt;='Inputs'!$B$33,'Case Inputs'!$J$4,'Case Inputs'!$K$4)</x:f>
        <x:v>250</x:v>
      </x:c>
      <x:c r="M8" s="34" t="n">
        <x:f>K8*L8</x:f>
        <x:v>1500</x:v>
      </x:c>
      <x:c r="N8" s="25" t="n">
        <x:f>IF(C8&gt;='Case Inputs'!$H$4,D8*'Case Inputs'!$I$4,0)</x:f>
        <x:v>175</x:v>
      </x:c>
      <x:c r="O8" s="32" t="n">
        <x:f>N8*'Inputs'!$B$20</x:f>
        <x:v>873.25</x:v>
      </x:c>
      <x:c r="P8" s="34" t="n">
        <x:f>SUM(I8:J8)+M8+O8</x:f>
        <x:v>5313.25</x:v>
      </x:c>
      <x:c r="Q8" s="32" t="n">
        <x:f>IF(F8&lt;='Inputs'!$B$7,0,IF(F8&lt;='Inputs'!$B$8,'Inputs'!$B$10,IF(F8&lt;='Inputs'!$B$9,'Inputs'!$B$11,'Inputs'!$B$12)))</x:f>
        <x:v>20</x:v>
      </x:c>
      <x:c r="R8" s="32" t="n">
        <x:f>'Inputs'!$B$6+Q8+D8*'Inputs'!$B$13</x:f>
        <x:v>110</x:v>
      </x:c>
      <x:c r="S8" s="32" t="n">
        <x:f>IF(C8&gt;='Inputs'!$B$32,'Case Inputs'!$L$4,0)</x:f>
        <x:v>250</x:v>
      </x:c>
      <x:c r="T8" s="32" t="n">
        <x:f>(M8+O8)*'Inputs'!$B$17+(K8*'Inputs'!$B$28+N8*'Inputs'!$B$29)*'Inputs'!$B$18+O8*'Inputs'!$B$19</x:f>
        <x:v>129.237</x:v>
      </x:c>
      <x:c r="U8" s="34" t="n">
        <x:f>SUM(R8:T8)</x:f>
        <x:v>489.23699999999997</x:v>
      </x:c>
      <x:c r="V8" s="34" t="n">
        <x:f>P8-U8</x:f>
        <x:v>4824.013</x:v>
      </x:c>
      <x:c r="W8" s="28" t="n">
        <x:f>IF(P8=0,"",V8/P8)</x:f>
        <x:v>0.9079213287535877</x:v>
      </x:c>
      <x:c r="X8" s="32" t="n">
        <x:f>'Inputs'!$B$21</x:f>
        <x:v>100</x:v>
      </x:c>
      <x:c r="Y8" s="32" t="n">
        <x:f>IF(OR(MONTH(B8)&gt;=9,MONTH(B8)&lt;=4),'Case Inputs'!$N$4,'Case Inputs'!$O$4)</x:f>
        <x:v>1500</x:v>
      </x:c>
      <x:c r="Z8" s="32" t="n">
        <x:f>IF(C8&gt;='Inputs'!$B$32,'Case Inputs'!$P$4,0)</x:f>
        <x:v>1000</x:v>
      </x:c>
      <x:c r="AA8" s="32" t="n">
        <x:f>IF(C8=1,'Case Inputs'!$M$4*'Inputs'!$B$30,IF(C8=2,'Case Inputs'!$M$4*'Inputs'!$B$31,0))</x:f>
        <x:v>0</x:v>
      </x:c>
      <x:c r="AB8" s="34" t="n">
        <x:f>V8-SUM(X8:AA8)</x:f>
        <x:v>2224.013</x:v>
      </x:c>
      <x:c r="AC8" s="32" t="n">
        <x:f>IF(C8&gt;'Inputs'!$B$24,INDEX($I$2:$I$25,MAX(1,C8-'Inputs'!$B$24)),0)+IF(C8&gt;'Inputs'!$B$25,INDEX($J$2:$J$25,MAX(1,C8-'Inputs'!$B$25)),0)+M8+O8</x:f>
        <x:v>5388.25</x:v>
      </x:c>
      <x:c r="AD8" s="34" t="n">
        <x:f>U8+SUM(X8:AA8)</x:f>
        <x:v>3089.237</x:v>
      </x:c>
      <x:c r="AE8" s="34" t="n">
        <x:f>AC8-AD8</x:f>
        <x:v>2299.013</x:v>
      </x:c>
      <x:c r="AF8" s="34" t="n">
        <x:f>SUM($AE$2:AE8)</x:f>
        <x:v>-10998.306</x:v>
      </x:c>
      <x:c r="AG8" s="32" t="n">
        <x:f>'Inputs'!$B$22*'Inputs'!$B$23</x:f>
        <x:v>4000</x:v>
      </x:c>
      <x:c r="AH8" s="34" t="n">
        <x:f>AB8-AG8</x:f>
        <x:v>-1775.987</x:v>
      </x:c>
    </x:row>
    <x:row r="9" ht="32" customHeight="1">
      <x:c r="A9" s="4" t="str">
        <x:v>Breakout</x:v>
      </x:c>
      <x:c r="B9" s="22" t="n">
        <x:v>46478</x:v>
      </x:c>
      <x:c r="C9" s="4" t="n">
        <x:v>8</x:v>
      </x:c>
      <x:c r="D9" s="24" t="n">
        <x:v>30000</x:v>
      </x:c>
      <x:c r="E9" s="30" t="n">
        <x:f>D9*'Inputs'!$B$2*'Inputs'!$B$3</x:f>
        <x:v>165000</x:v>
      </x:c>
      <x:c r="F9" s="30" t="n">
        <x:f>E9*'Inputs'!$B$4</x:f>
        <x:v>1320000</x:v>
      </x:c>
      <x:c r="G9" s="30" t="n">
        <x:f>E9*'Inputs'!$B$5/'Inputs'!$B$26</x:f>
        <x:v>57.74999999999999</x:v>
      </x:c>
      <x:c r="H9" s="30" t="n">
        <x:f>IF(C9&gt;='Case Inputs'!$G$4,D9*'Case Inputs'!$B$4,0)</x:f>
        <x:v>1200</x:v>
      </x:c>
      <x:c r="I9" s="32" t="n">
        <x:f>H9*'Case Inputs'!$C$4*'Case Inputs'!$D$4*'Case Inputs'!$E$4</x:f>
        <x:v>765</x:v>
      </x:c>
      <x:c r="J9" s="32" t="n">
        <x:f>IF(AND(C9&gt;='Case Inputs'!$F$4,D9&gt;='Inputs'!$B$16),E9*'Inputs'!$B$14*'Inputs'!$B$15/'Inputs'!$B$27,0)</x:f>
        <x:v>495</x:v>
      </x:c>
      <x:c r="K9" s="24" t="n">
        <x:v>3</x:v>
      </x:c>
      <x:c r="L9" s="32" t="n">
        <x:f>IF(C9&lt;='Inputs'!$B$33,'Case Inputs'!$J$4,'Case Inputs'!$K$4)</x:f>
        <x:v>250</x:v>
      </x:c>
      <x:c r="M9" s="34" t="n">
        <x:f>K9*L9</x:f>
        <x:v>750</x:v>
      </x:c>
      <x:c r="N9" s="25" t="n">
        <x:f>IF(C9&gt;='Case Inputs'!$H$4,D9*'Case Inputs'!$I$4,0)</x:f>
        <x:v>75</x:v>
      </x:c>
      <x:c r="O9" s="32" t="n">
        <x:f>N9*'Inputs'!$B$20</x:f>
        <x:v>374.25</x:v>
      </x:c>
      <x:c r="P9" s="34" t="n">
        <x:f>SUM(I9:J9)+M9+O9</x:f>
        <x:v>2384.25</x:v>
      </x:c>
      <x:c r="Q9" s="32" t="n">
        <x:f>IF(F9&lt;='Inputs'!$B$7,0,IF(F9&lt;='Inputs'!$B$8,'Inputs'!$B$10,IF(F9&lt;='Inputs'!$B$9,'Inputs'!$B$11,'Inputs'!$B$12)))</x:f>
        <x:v>20</x:v>
      </x:c>
      <x:c r="R9" s="32" t="n">
        <x:f>'Inputs'!$B$6+Q9+D9*'Inputs'!$B$13</x:f>
        <x:v>70</x:v>
      </x:c>
      <x:c r="S9" s="32" t="n">
        <x:f>IF(C9&gt;='Inputs'!$B$32,'Case Inputs'!$L$4,0)</x:f>
        <x:v>250</x:v>
      </x:c>
      <x:c r="T9" s="32" t="n">
        <x:f>(M9+O9)*'Inputs'!$B$17+(K9*'Inputs'!$B$28+N9*'Inputs'!$B$29)*'Inputs'!$B$18+O9*'Inputs'!$B$19</x:f>
        <x:v>58.623000000000005</x:v>
      </x:c>
      <x:c r="U9" s="34" t="n">
        <x:f>SUM(R9:T9)</x:f>
        <x:v>378.623</x:v>
      </x:c>
      <x:c r="V9" s="34" t="n">
        <x:f>P9-U9</x:f>
        <x:v>2005.627</x:v>
      </x:c>
      <x:c r="W9" s="28" t="n">
        <x:f>IF(P9=0,"",V9/P9)</x:f>
        <x:v>0.8411982803816713</x:v>
      </x:c>
      <x:c r="X9" s="32" t="n">
        <x:f>'Inputs'!$B$21</x:f>
        <x:v>100</x:v>
      </x:c>
      <x:c r="Y9" s="32" t="n">
        <x:f>IF(OR(MONTH(B9)&gt;=9,MONTH(B9)&lt;=4),'Case Inputs'!$N$4,'Case Inputs'!$O$4)</x:f>
        <x:v>1500</x:v>
      </x:c>
      <x:c r="Z9" s="32" t="n">
        <x:f>IF(C9&gt;='Inputs'!$B$32,'Case Inputs'!$P$4,0)</x:f>
        <x:v>1000</x:v>
      </x:c>
      <x:c r="AA9" s="32" t="n">
        <x:f>IF(C9=1,'Case Inputs'!$M$4*'Inputs'!$B$30,IF(C9=2,'Case Inputs'!$M$4*'Inputs'!$B$31,0))</x:f>
        <x:v>0</x:v>
      </x:c>
      <x:c r="AB9" s="34" t="n">
        <x:f>V9-SUM(X9:AA9)</x:f>
        <x:v>-594.373</x:v>
      </x:c>
      <x:c r="AC9" s="32" t="n">
        <x:f>IF(C9&gt;'Inputs'!$B$24,INDEX($I$2:$I$25,MAX(1,C9-'Inputs'!$B$24)),0)+IF(C9&gt;'Inputs'!$B$25,INDEX($J$2:$J$25,MAX(1,C9-'Inputs'!$B$25)),0)+M9+O9</x:f>
        <x:v>4574.25</x:v>
      </x:c>
      <x:c r="AD9" s="34" t="n">
        <x:f>U9+SUM(X9:AA9)</x:f>
        <x:v>2978.623</x:v>
      </x:c>
      <x:c r="AE9" s="34" t="n">
        <x:f>AC9-AD9</x:f>
        <x:v>1595.627</x:v>
      </x:c>
      <x:c r="AF9" s="34" t="n">
        <x:f>SUM($AE$2:AE9)</x:f>
        <x:v>-9402.679</x:v>
      </x:c>
      <x:c r="AG9" s="32" t="n">
        <x:f>'Inputs'!$B$22*'Inputs'!$B$23</x:f>
        <x:v>4000</x:v>
      </x:c>
      <x:c r="AH9" s="34" t="n">
        <x:f>AB9-AG9</x:f>
        <x:v>-4594.373</x:v>
      </x:c>
    </x:row>
    <x:row r="10" ht="32" customHeight="1">
      <x:c r="A10" s="4" t="str">
        <x:v>Breakout</x:v>
      </x:c>
      <x:c r="B10" s="22" t="n">
        <x:v>46508</x:v>
      </x:c>
      <x:c r="C10" s="4" t="n">
        <x:v>9</x:v>
      </x:c>
      <x:c r="D10" s="24" t="n">
        <x:v>12000</x:v>
      </x:c>
      <x:c r="E10" s="30" t="n">
        <x:f>D10*'Inputs'!$B$2*'Inputs'!$B$3</x:f>
        <x:v>66000</x:v>
      </x:c>
      <x:c r="F10" s="30" t="n">
        <x:f>E10*'Inputs'!$B$4</x:f>
        <x:v>528000</x:v>
      </x:c>
      <x:c r="G10" s="30" t="n">
        <x:f>E10*'Inputs'!$B$5/'Inputs'!$B$26</x:f>
        <x:v>23.1</x:v>
      </x:c>
      <x:c r="H10" s="30" t="n">
        <x:f>IF(C10&gt;='Case Inputs'!$G$4,D10*'Case Inputs'!$B$4,0)</x:f>
        <x:v>480</x:v>
      </x:c>
      <x:c r="I10" s="32" t="n">
        <x:f>H10*'Case Inputs'!$C$4*'Case Inputs'!$D$4*'Case Inputs'!$E$4</x:f>
        <x:v>305.99999999999994</x:v>
      </x:c>
      <x:c r="J10" s="32" t="n">
        <x:f>IF(AND(C10&gt;='Case Inputs'!$F$4,D10&gt;='Inputs'!$B$16),E10*'Inputs'!$B$14*'Inputs'!$B$15/'Inputs'!$B$27,0)</x:f>
        <x:v>198</x:v>
      </x:c>
      <x:c r="K10" s="24" t="n">
        <x:v>0</x:v>
      </x:c>
      <x:c r="L10" s="32" t="n">
        <x:f>IF(C10&lt;='Inputs'!$B$33,'Case Inputs'!$J$4,'Case Inputs'!$K$4)</x:f>
        <x:v>250</x:v>
      </x:c>
      <x:c r="M10" s="34" t="n">
        <x:f>K10*L10</x:f>
        <x:v>0</x:v>
      </x:c>
      <x:c r="N10" s="25" t="n">
        <x:f>IF(C10&gt;='Case Inputs'!$H$4,D10*'Case Inputs'!$I$4,0)</x:f>
        <x:v>30</x:v>
      </x:c>
      <x:c r="O10" s="32" t="n">
        <x:f>N10*'Inputs'!$B$20</x:f>
        <x:v>149.70000000000002</x:v>
      </x:c>
      <x:c r="P10" s="34" t="n">
        <x:f>SUM(I10:J10)+M10+O10</x:f>
        <x:v>653.6999999999999</x:v>
      </x:c>
      <x:c r="Q10" s="32" t="n">
        <x:f>IF(F10&lt;='Inputs'!$B$7,0,IF(F10&lt;='Inputs'!$B$8,'Inputs'!$B$10,IF(F10&lt;='Inputs'!$B$9,'Inputs'!$B$11,'Inputs'!$B$12)))</x:f>
        <x:v>0</x:v>
      </x:c>
      <x:c r="R10" s="32" t="n">
        <x:f>'Inputs'!$B$6+Q10+D10*'Inputs'!$B$13</x:f>
        <x:v>32</x:v>
      </x:c>
      <x:c r="S10" s="32" t="n">
        <x:f>IF(C10&gt;='Inputs'!$B$32,'Case Inputs'!$L$4,0)</x:f>
        <x:v>250</x:v>
      </x:c>
      <x:c r="T10" s="32" t="n">
        <x:f>(M10+O10)*'Inputs'!$B$17+(K10*'Inputs'!$B$28+N10*'Inputs'!$B$29)*'Inputs'!$B$18+O10*'Inputs'!$B$19</x:f>
        <x:v>14.3892</x:v>
      </x:c>
      <x:c r="U10" s="34" t="n">
        <x:f>SUM(R10:T10)</x:f>
        <x:v>296.3892</x:v>
      </x:c>
      <x:c r="V10" s="34" t="n">
        <x:f>P10-U10</x:f>
        <x:v>357.3107999999999</x:v>
      </x:c>
      <x:c r="W10" s="28" t="n">
        <x:f>IF(P10=0,"",V10/P10)</x:f>
        <x:v>0.5465975217989902</x:v>
      </x:c>
      <x:c r="X10" s="32" t="n">
        <x:f>'Inputs'!$B$21</x:f>
        <x:v>100</x:v>
      </x:c>
      <x:c r="Y10" s="32" t="n">
        <x:f>IF(OR(MONTH(B10)&gt;=9,MONTH(B10)&lt;=4),'Case Inputs'!$N$4,'Case Inputs'!$O$4)</x:f>
        <x:v>300</x:v>
      </x:c>
      <x:c r="Z10" s="32" t="n">
        <x:f>IF(C10&gt;='Inputs'!$B$32,'Case Inputs'!$P$4,0)</x:f>
        <x:v>1000</x:v>
      </x:c>
      <x:c r="AA10" s="32" t="n">
        <x:f>IF(C10=1,'Case Inputs'!$M$4*'Inputs'!$B$30,IF(C10=2,'Case Inputs'!$M$4*'Inputs'!$B$31,0))</x:f>
        <x:v>0</x:v>
      </x:c>
      <x:c r="AB10" s="34" t="n">
        <x:f>V10-SUM(X10:AA10)</x:f>
        <x:v>-1042.6892</x:v>
      </x:c>
      <x:c r="AC10" s="32" t="n">
        <x:f>IF(C10&gt;'Inputs'!$B$24,INDEX($I$2:$I$25,MAX(1,C10-'Inputs'!$B$24)),0)+IF(C10&gt;'Inputs'!$B$25,INDEX($J$2:$J$25,MAX(1,C10-'Inputs'!$B$25)),0)+M10+O10</x:f>
        <x:v>2429.7</x:v>
      </x:c>
      <x:c r="AD10" s="34" t="n">
        <x:f>U10+SUM(X10:AA10)</x:f>
        <x:v>1696.3892</x:v>
      </x:c>
      <x:c r="AE10" s="34" t="n">
        <x:f>AC10-AD10</x:f>
        <x:v>733.3107999999997</x:v>
      </x:c>
      <x:c r="AF10" s="34" t="n">
        <x:f>SUM($AE$2:AE10)</x:f>
        <x:v>-8669.3682</x:v>
      </x:c>
      <x:c r="AG10" s="32" t="n">
        <x:f>'Inputs'!$B$22*'Inputs'!$B$23</x:f>
        <x:v>4000</x:v>
      </x:c>
      <x:c r="AH10" s="34" t="n">
        <x:f>AB10-AG10</x:f>
        <x:v>-5042.6892</x:v>
      </x:c>
    </x:row>
    <x:row r="11" ht="32" customHeight="1">
      <x:c r="A11" s="4" t="str">
        <x:v>Breakout</x:v>
      </x:c>
      <x:c r="B11" s="22" t="n">
        <x:v>46539</x:v>
      </x:c>
      <x:c r="C11" s="4" t="n">
        <x:v>10</x:v>
      </x:c>
      <x:c r="D11" s="24" t="n">
        <x:v>8000</x:v>
      </x:c>
      <x:c r="E11" s="30" t="n">
        <x:f>D11*'Inputs'!$B$2*'Inputs'!$B$3</x:f>
        <x:v>44000</x:v>
      </x:c>
      <x:c r="F11" s="30" t="n">
        <x:f>E11*'Inputs'!$B$4</x:f>
        <x:v>352000</x:v>
      </x:c>
      <x:c r="G11" s="30" t="n">
        <x:f>E11*'Inputs'!$B$5/'Inputs'!$B$26</x:f>
        <x:v>15.399999999999999</x:v>
      </x:c>
      <x:c r="H11" s="30" t="n">
        <x:f>IF(C11&gt;='Case Inputs'!$G$4,D11*'Case Inputs'!$B$4,0)</x:f>
        <x:v>320</x:v>
      </x:c>
      <x:c r="I11" s="32" t="n">
        <x:f>H11*'Case Inputs'!$C$4*'Case Inputs'!$D$4*'Case Inputs'!$E$4</x:f>
        <x:v>204</x:v>
      </x:c>
      <x:c r="J11" s="32" t="n">
        <x:f>IF(AND(C11&gt;='Case Inputs'!$F$4,D11&gt;='Inputs'!$B$16),E11*'Inputs'!$B$14*'Inputs'!$B$15/'Inputs'!$B$27,0)</x:f>
        <x:v>0</x:v>
      </x:c>
      <x:c r="K11" s="24" t="n">
        <x:v>0</x:v>
      </x:c>
      <x:c r="L11" s="32" t="n">
        <x:f>IF(C11&lt;='Inputs'!$B$33,'Case Inputs'!$J$4,'Case Inputs'!$K$4)</x:f>
        <x:v>250</x:v>
      </x:c>
      <x:c r="M11" s="34" t="n">
        <x:f>K11*L11</x:f>
        <x:v>0</x:v>
      </x:c>
      <x:c r="N11" s="25" t="n">
        <x:f>IF(C11&gt;='Case Inputs'!$H$4,D11*'Case Inputs'!$I$4,0)</x:f>
        <x:v>20</x:v>
      </x:c>
      <x:c r="O11" s="32" t="n">
        <x:f>N11*'Inputs'!$B$20</x:f>
        <x:v>99.80000000000001</x:v>
      </x:c>
      <x:c r="P11" s="34" t="n">
        <x:f>SUM(I11:J11)+M11+O11</x:f>
        <x:v>303.8</x:v>
      </x:c>
      <x:c r="Q11" s="32" t="n">
        <x:f>IF(F11&lt;='Inputs'!$B$7,0,IF(F11&lt;='Inputs'!$B$8,'Inputs'!$B$10,IF(F11&lt;='Inputs'!$B$9,'Inputs'!$B$11,'Inputs'!$B$12)))</x:f>
        <x:v>0</x:v>
      </x:c>
      <x:c r="R11" s="32" t="n">
        <x:f>'Inputs'!$B$6+Q11+D11*'Inputs'!$B$13</x:f>
        <x:v>28</x:v>
      </x:c>
      <x:c r="S11" s="32" t="n">
        <x:f>IF(C11&gt;='Inputs'!$B$32,'Case Inputs'!$L$4,0)</x:f>
        <x:v>250</x:v>
      </x:c>
      <x:c r="T11" s="32" t="n">
        <x:f>(M11+O11)*'Inputs'!$B$17+(K11*'Inputs'!$B$28+N11*'Inputs'!$B$29)*'Inputs'!$B$18+O11*'Inputs'!$B$19</x:f>
        <x:v>9.592800000000002</x:v>
      </x:c>
      <x:c r="U11" s="34" t="n">
        <x:f>SUM(R11:T11)</x:f>
        <x:v>287.5928</x:v>
      </x:c>
      <x:c r="V11" s="34" t="n">
        <x:f>P11-U11</x:f>
        <x:v>16.2072</x:v>
      </x:c>
      <x:c r="W11" s="28" t="n">
        <x:f>IF(P11=0,"",V11/P11)</x:f>
        <x:v>0.053348255431204736</x:v>
      </x:c>
      <x:c r="X11" s="32" t="n">
        <x:f>'Inputs'!$B$21</x:f>
        <x:v>100</x:v>
      </x:c>
      <x:c r="Y11" s="32" t="n">
        <x:f>IF(OR(MONTH(B11)&gt;=9,MONTH(B11)&lt;=4),'Case Inputs'!$N$4,'Case Inputs'!$O$4)</x:f>
        <x:v>300</x:v>
      </x:c>
      <x:c r="Z11" s="32" t="n">
        <x:f>IF(C11&gt;='Inputs'!$B$32,'Case Inputs'!$P$4,0)</x:f>
        <x:v>1000</x:v>
      </x:c>
      <x:c r="AA11" s="32" t="n">
        <x:f>IF(C11=1,'Case Inputs'!$M$4*'Inputs'!$B$30,IF(C11=2,'Case Inputs'!$M$4*'Inputs'!$B$31,0))</x:f>
        <x:v>0</x:v>
      </x:c>
      <x:c r="AB11" s="34" t="n">
        <x:f>V11-SUM(X11:AA11)</x:f>
        <x:v>-1383.7928</x:v>
      </x:c>
      <x:c r="AC11" s="32" t="n">
        <x:f>IF(C11&gt;'Inputs'!$B$24,INDEX($I$2:$I$25,MAX(1,C11-'Inputs'!$B$24)),0)+IF(C11&gt;'Inputs'!$B$25,INDEX($J$2:$J$25,MAX(1,C11-'Inputs'!$B$25)),0)+M11+O11</x:f>
        <x:v>1062.8</x:v>
      </x:c>
      <x:c r="AD11" s="34" t="n">
        <x:f>U11+SUM(X11:AA11)</x:f>
        <x:v>1687.5928</x:v>
      </x:c>
      <x:c r="AE11" s="34" t="n">
        <x:f>AC11-AD11</x:f>
        <x:v>-624.7927999999999</x:v>
      </x:c>
      <x:c r="AF11" s="34" t="n">
        <x:f>SUM($AE$2:AE11)</x:f>
        <x:v>-9294.161</x:v>
      </x:c>
      <x:c r="AG11" s="32" t="n">
        <x:f>'Inputs'!$B$22*'Inputs'!$B$23</x:f>
        <x:v>4000</x:v>
      </x:c>
      <x:c r="AH11" s="34" t="n">
        <x:f>AB11-AG11</x:f>
        <x:v>-5383.7928</x:v>
      </x:c>
    </x:row>
    <x:row r="12" ht="32" customHeight="1">
      <x:c r="A12" s="4" t="str">
        <x:v>Breakout</x:v>
      </x:c>
      <x:c r="B12" s="22" t="n">
        <x:v>46569</x:v>
      </x:c>
      <x:c r="C12" s="4" t="n">
        <x:v>11</x:v>
      </x:c>
      <x:c r="D12" s="24" t="n">
        <x:v>7000</x:v>
      </x:c>
      <x:c r="E12" s="30" t="n">
        <x:f>D12*'Inputs'!$B$2*'Inputs'!$B$3</x:f>
        <x:v>38500</x:v>
      </x:c>
      <x:c r="F12" s="30" t="n">
        <x:f>E12*'Inputs'!$B$4</x:f>
        <x:v>308000</x:v>
      </x:c>
      <x:c r="G12" s="30" t="n">
        <x:f>E12*'Inputs'!$B$5/'Inputs'!$B$26</x:f>
        <x:v>13.475</x:v>
      </x:c>
      <x:c r="H12" s="30" t="n">
        <x:f>IF(C12&gt;='Case Inputs'!$G$4,D12*'Case Inputs'!$B$4,0)</x:f>
        <x:v>280</x:v>
      </x:c>
      <x:c r="I12" s="32" t="n">
        <x:f>H12*'Case Inputs'!$C$4*'Case Inputs'!$D$4*'Case Inputs'!$E$4</x:f>
        <x:v>178.5</x:v>
      </x:c>
      <x:c r="J12" s="32" t="n">
        <x:f>IF(AND(C12&gt;='Case Inputs'!$F$4,D12&gt;='Inputs'!$B$16),E12*'Inputs'!$B$14*'Inputs'!$B$15/'Inputs'!$B$27,0)</x:f>
        <x:v>0</x:v>
      </x:c>
      <x:c r="K12" s="24" t="n">
        <x:v>0</x:v>
      </x:c>
      <x:c r="L12" s="32" t="n">
        <x:f>IF(C12&lt;='Inputs'!$B$33,'Case Inputs'!$J$4,'Case Inputs'!$K$4)</x:f>
        <x:v>250</x:v>
      </x:c>
      <x:c r="M12" s="34" t="n">
        <x:f>K12*L12</x:f>
        <x:v>0</x:v>
      </x:c>
      <x:c r="N12" s="25" t="n">
        <x:f>IF(C12&gt;='Case Inputs'!$H$4,D12*'Case Inputs'!$I$4,0)</x:f>
        <x:v>17.5</x:v>
      </x:c>
      <x:c r="O12" s="32" t="n">
        <x:f>N12*'Inputs'!$B$20</x:f>
        <x:v>87.325</x:v>
      </x:c>
      <x:c r="P12" s="34" t="n">
        <x:f>SUM(I12:J12)+M12+O12</x:f>
        <x:v>265.825</x:v>
      </x:c>
      <x:c r="Q12" s="32" t="n">
        <x:f>IF(F12&lt;='Inputs'!$B$7,0,IF(F12&lt;='Inputs'!$B$8,'Inputs'!$B$10,IF(F12&lt;='Inputs'!$B$9,'Inputs'!$B$11,'Inputs'!$B$12)))</x:f>
        <x:v>0</x:v>
      </x:c>
      <x:c r="R12" s="32" t="n">
        <x:f>'Inputs'!$B$6+Q12+D12*'Inputs'!$B$13</x:f>
        <x:v>27</x:v>
      </x:c>
      <x:c r="S12" s="32" t="n">
        <x:f>IF(C12&gt;='Inputs'!$B$32,'Case Inputs'!$L$4,0)</x:f>
        <x:v>250</x:v>
      </x:c>
      <x:c r="T12" s="32" t="n">
        <x:f>(M12+O12)*'Inputs'!$B$17+(K12*'Inputs'!$B$28+N12*'Inputs'!$B$29)*'Inputs'!$B$18+O12*'Inputs'!$B$19</x:f>
        <x:v>8.393699999999999</x:v>
      </x:c>
      <x:c r="U12" s="34" t="n">
        <x:f>SUM(R12:T12)</x:f>
        <x:v>285.3937</x:v>
      </x:c>
      <x:c r="V12" s="34" t="n">
        <x:f>P12-U12</x:f>
        <x:v>-19.568700000000035</x:v>
      </x:c>
      <x:c r="W12" s="28" t="n">
        <x:f>IF(P12=0,"",V12/P12)</x:f>
        <x:v>-0.07361497225618371</x:v>
      </x:c>
      <x:c r="X12" s="32" t="n">
        <x:f>'Inputs'!$B$21</x:f>
        <x:v>100</x:v>
      </x:c>
      <x:c r="Y12" s="32" t="n">
        <x:f>IF(OR(MONTH(B12)&gt;=9,MONTH(B12)&lt;=4),'Case Inputs'!$N$4,'Case Inputs'!$O$4)</x:f>
        <x:v>300</x:v>
      </x:c>
      <x:c r="Z12" s="32" t="n">
        <x:f>IF(C12&gt;='Inputs'!$B$32,'Case Inputs'!$P$4,0)</x:f>
        <x:v>1000</x:v>
      </x:c>
      <x:c r="AA12" s="32" t="n">
        <x:f>IF(C12=1,'Case Inputs'!$M$4*'Inputs'!$B$30,IF(C12=2,'Case Inputs'!$M$4*'Inputs'!$B$31,0))</x:f>
        <x:v>0</x:v>
      </x:c>
      <x:c r="AB12" s="34" t="n">
        <x:f>V12-SUM(X12:AA12)</x:f>
        <x:v>-1419.5687</x:v>
      </x:c>
      <x:c r="AC12" s="32" t="n">
        <x:f>IF(C12&gt;'Inputs'!$B$24,INDEX($I$2:$I$25,MAX(1,C12-'Inputs'!$B$24)),0)+IF(C12&gt;'Inputs'!$B$25,INDEX($J$2:$J$25,MAX(1,C12-'Inputs'!$B$25)),0)+M12+O12</x:f>
        <x:v>393.32499999999993</x:v>
      </x:c>
      <x:c r="AD12" s="34" t="n">
        <x:f>U12+SUM(X12:AA12)</x:f>
        <x:v>1685.3937</x:v>
      </x:c>
      <x:c r="AE12" s="34" t="n">
        <x:f>AC12-AD12</x:f>
        <x:v>-1292.0687000000003</x:v>
      </x:c>
      <x:c r="AF12" s="34" t="n">
        <x:f>SUM($AE$2:AE12)</x:f>
        <x:v>-10586.2297</x:v>
      </x:c>
      <x:c r="AG12" s="32" t="n">
        <x:f>'Inputs'!$B$22*'Inputs'!$B$23</x:f>
        <x:v>4000</x:v>
      </x:c>
      <x:c r="AH12" s="34" t="n">
        <x:f>AB12-AG12</x:f>
        <x:v>-5419.5687</x:v>
      </x:c>
    </x:row>
    <x:row r="13" ht="32" customHeight="1">
      <x:c r="A13" s="4" t="str">
        <x:v>Breakout</x:v>
      </x:c>
      <x:c r="B13" s="22" t="n">
        <x:v>46600</x:v>
      </x:c>
      <x:c r="C13" s="4" t="n">
        <x:v>12</x:v>
      </x:c>
      <x:c r="D13" s="24" t="n">
        <x:v>12000</x:v>
      </x:c>
      <x:c r="E13" s="30" t="n">
        <x:f>D13*'Inputs'!$B$2*'Inputs'!$B$3</x:f>
        <x:v>66000</x:v>
      </x:c>
      <x:c r="F13" s="30" t="n">
        <x:f>E13*'Inputs'!$B$4</x:f>
        <x:v>528000</x:v>
      </x:c>
      <x:c r="G13" s="30" t="n">
        <x:f>E13*'Inputs'!$B$5/'Inputs'!$B$26</x:f>
        <x:v>23.1</x:v>
      </x:c>
      <x:c r="H13" s="30" t="n">
        <x:f>IF(C13&gt;='Case Inputs'!$G$4,D13*'Case Inputs'!$B$4,0)</x:f>
        <x:v>480</x:v>
      </x:c>
      <x:c r="I13" s="32" t="n">
        <x:f>H13*'Case Inputs'!$C$4*'Case Inputs'!$D$4*'Case Inputs'!$E$4</x:f>
        <x:v>305.99999999999994</x:v>
      </x:c>
      <x:c r="J13" s="32" t="n">
        <x:f>IF(AND(C13&gt;='Case Inputs'!$F$4,D13&gt;='Inputs'!$B$16),E13*'Inputs'!$B$14*'Inputs'!$B$15/'Inputs'!$B$27,0)</x:f>
        <x:v>198</x:v>
      </x:c>
      <x:c r="K13" s="24" t="n">
        <x:v>0</x:v>
      </x:c>
      <x:c r="L13" s="32" t="n">
        <x:f>IF(C13&lt;='Inputs'!$B$33,'Case Inputs'!$J$4,'Case Inputs'!$K$4)</x:f>
        <x:v>250</x:v>
      </x:c>
      <x:c r="M13" s="34" t="n">
        <x:f>K13*L13</x:f>
        <x:v>0</x:v>
      </x:c>
      <x:c r="N13" s="25" t="n">
        <x:f>IF(C13&gt;='Case Inputs'!$H$4,D13*'Case Inputs'!$I$4,0)</x:f>
        <x:v>30</x:v>
      </x:c>
      <x:c r="O13" s="32" t="n">
        <x:f>N13*'Inputs'!$B$20</x:f>
        <x:v>149.70000000000002</x:v>
      </x:c>
      <x:c r="P13" s="34" t="n">
        <x:f>SUM(I13:J13)+M13+O13</x:f>
        <x:v>653.6999999999999</x:v>
      </x:c>
      <x:c r="Q13" s="32" t="n">
        <x:f>IF(F13&lt;='Inputs'!$B$7,0,IF(F13&lt;='Inputs'!$B$8,'Inputs'!$B$10,IF(F13&lt;='Inputs'!$B$9,'Inputs'!$B$11,'Inputs'!$B$12)))</x:f>
        <x:v>0</x:v>
      </x:c>
      <x:c r="R13" s="32" t="n">
        <x:f>'Inputs'!$B$6+Q13+D13*'Inputs'!$B$13</x:f>
        <x:v>32</x:v>
      </x:c>
      <x:c r="S13" s="32" t="n">
        <x:f>IF(C13&gt;='Inputs'!$B$32,'Case Inputs'!$L$4,0)</x:f>
        <x:v>250</x:v>
      </x:c>
      <x:c r="T13" s="32" t="n">
        <x:f>(M13+O13)*'Inputs'!$B$17+(K13*'Inputs'!$B$28+N13*'Inputs'!$B$29)*'Inputs'!$B$18+O13*'Inputs'!$B$19</x:f>
        <x:v>14.3892</x:v>
      </x:c>
      <x:c r="U13" s="34" t="n">
        <x:f>SUM(R13:T13)</x:f>
        <x:v>296.3892</x:v>
      </x:c>
      <x:c r="V13" s="34" t="n">
        <x:f>P13-U13</x:f>
        <x:v>357.3107999999999</x:v>
      </x:c>
      <x:c r="W13" s="28" t="n">
        <x:f>IF(P13=0,"",V13/P13)</x:f>
        <x:v>0.5465975217989902</x:v>
      </x:c>
      <x:c r="X13" s="32" t="n">
        <x:f>'Inputs'!$B$21</x:f>
        <x:v>100</x:v>
      </x:c>
      <x:c r="Y13" s="32" t="n">
        <x:f>IF(OR(MONTH(B13)&gt;=9,MONTH(B13)&lt;=4),'Case Inputs'!$N$4,'Case Inputs'!$O$4)</x:f>
        <x:v>300</x:v>
      </x:c>
      <x:c r="Z13" s="32" t="n">
        <x:f>IF(C13&gt;='Inputs'!$B$32,'Case Inputs'!$P$4,0)</x:f>
        <x:v>1000</x:v>
      </x:c>
      <x:c r="AA13" s="32" t="n">
        <x:f>IF(C13=1,'Case Inputs'!$M$4*'Inputs'!$B$30,IF(C13=2,'Case Inputs'!$M$4*'Inputs'!$B$31,0))</x:f>
        <x:v>0</x:v>
      </x:c>
      <x:c r="AB13" s="34" t="n">
        <x:f>V13-SUM(X13:AA13)</x:f>
        <x:v>-1042.6892</x:v>
      </x:c>
      <x:c r="AC13" s="32" t="n">
        <x:f>IF(C13&gt;'Inputs'!$B$24,INDEX($I$2:$I$25,MAX(1,C13-'Inputs'!$B$24)),0)+IF(C13&gt;'Inputs'!$B$25,INDEX($J$2:$J$25,MAX(1,C13-'Inputs'!$B$25)),0)+M13+O13</x:f>
        <x:v>353.70000000000005</x:v>
      </x:c>
      <x:c r="AD13" s="34" t="n">
        <x:f>U13+SUM(X13:AA13)</x:f>
        <x:v>1696.3892</x:v>
      </x:c>
      <x:c r="AE13" s="34" t="n">
        <x:f>AC13-AD13</x:f>
        <x:v>-1342.6892</x:v>
      </x:c>
      <x:c r="AF13" s="34" t="n">
        <x:f>SUM($AE$2:AE13)</x:f>
        <x:v>-11928.9189</x:v>
      </x:c>
      <x:c r="AG13" s="32" t="n">
        <x:f>'Inputs'!$B$22*'Inputs'!$B$23</x:f>
        <x:v>4000</x:v>
      </x:c>
      <x:c r="AH13" s="34" t="n">
        <x:f>AB13-AG13</x:f>
        <x:v>-5042.6892</x:v>
      </x:c>
    </x:row>
    <x:row r="14" ht="32" customHeight="1">
      <x:c r="A14" s="4" t="str">
        <x:v>Breakout</x:v>
      </x:c>
      <x:c r="B14" s="22" t="n">
        <x:v>46631</x:v>
      </x:c>
      <x:c r="C14" s="4" t="n">
        <x:v>13</x:v>
      </x:c>
      <x:c r="D14" s="24" t="n">
        <x:v>30000</x:v>
      </x:c>
      <x:c r="E14" s="30" t="n">
        <x:f>D14*'Inputs'!$B$2*'Inputs'!$B$3</x:f>
        <x:v>165000</x:v>
      </x:c>
      <x:c r="F14" s="30" t="n">
        <x:f>E14*'Inputs'!$B$4</x:f>
        <x:v>1320000</x:v>
      </x:c>
      <x:c r="G14" s="30" t="n">
        <x:f>E14*'Inputs'!$B$5/'Inputs'!$B$26</x:f>
        <x:v>57.74999999999999</x:v>
      </x:c>
      <x:c r="H14" s="30" t="n">
        <x:f>IF(C14&gt;='Case Inputs'!$G$4,D14*'Case Inputs'!$B$4,0)</x:f>
        <x:v>1200</x:v>
      </x:c>
      <x:c r="I14" s="32" t="n">
        <x:f>H14*'Case Inputs'!$C$4*'Case Inputs'!$D$4*'Case Inputs'!$E$4</x:f>
        <x:v>765</x:v>
      </x:c>
      <x:c r="J14" s="32" t="n">
        <x:f>IF(AND(C14&gt;='Case Inputs'!$F$4,D14&gt;='Inputs'!$B$16),E14*'Inputs'!$B$14*'Inputs'!$B$15/'Inputs'!$B$27,0)</x:f>
        <x:v>495</x:v>
      </x:c>
      <x:c r="K14" s="24" t="n">
        <x:v>2</x:v>
      </x:c>
      <x:c r="L14" s="32" t="n">
        <x:f>IF(C14&lt;='Inputs'!$B$33,'Case Inputs'!$J$4,'Case Inputs'!$K$4)</x:f>
        <x:v>500</x:v>
      </x:c>
      <x:c r="M14" s="34" t="n">
        <x:f>K14*L14</x:f>
        <x:v>1000</x:v>
      </x:c>
      <x:c r="N14" s="25" t="n">
        <x:f>IF(C14&gt;='Case Inputs'!$H$4,D14*'Case Inputs'!$I$4,0)</x:f>
        <x:v>75</x:v>
      </x:c>
      <x:c r="O14" s="32" t="n">
        <x:f>N14*'Inputs'!$B$20</x:f>
        <x:v>374.25</x:v>
      </x:c>
      <x:c r="P14" s="34" t="n">
        <x:f>SUM(I14:J14)+M14+O14</x:f>
        <x:v>2634.25</x:v>
      </x:c>
      <x:c r="Q14" s="32" t="n">
        <x:f>IF(F14&lt;='Inputs'!$B$7,0,IF(F14&lt;='Inputs'!$B$8,'Inputs'!$B$10,IF(F14&lt;='Inputs'!$B$9,'Inputs'!$B$11,'Inputs'!$B$12)))</x:f>
        <x:v>20</x:v>
      </x:c>
      <x:c r="R14" s="32" t="n">
        <x:f>'Inputs'!$B$6+Q14+D14*'Inputs'!$B$13</x:f>
        <x:v>70</x:v>
      </x:c>
      <x:c r="S14" s="32" t="n">
        <x:f>IF(C14&gt;='Inputs'!$B$32,'Case Inputs'!$L$4,0)</x:f>
        <x:v>250</x:v>
      </x:c>
      <x:c r="T14" s="32" t="n">
        <x:f>(M14+O14)*'Inputs'!$B$17+(K14*'Inputs'!$B$28+N14*'Inputs'!$B$29)*'Inputs'!$B$18+O14*'Inputs'!$B$19</x:f>
        <x:v>65.573</x:v>
      </x:c>
      <x:c r="U14" s="34" t="n">
        <x:f>SUM(R14:T14)</x:f>
        <x:v>385.573</x:v>
      </x:c>
      <x:c r="V14" s="34" t="n">
        <x:f>P14-U14</x:f>
        <x:v>2248.677</x:v>
      </x:c>
      <x:c r="W14" s="28" t="n">
        <x:f>IF(P14=0,"",V14/P14)</x:f>
        <x:v>0.8536308247129164</x:v>
      </x:c>
      <x:c r="X14" s="32" t="n">
        <x:f>'Inputs'!$B$21</x:f>
        <x:v>100</x:v>
      </x:c>
      <x:c r="Y14" s="32" t="n">
        <x:f>IF(OR(MONTH(B14)&gt;=9,MONTH(B14)&lt;=4),'Case Inputs'!$N$4,'Case Inputs'!$O$4)</x:f>
        <x:v>1500</x:v>
      </x:c>
      <x:c r="Z14" s="32" t="n">
        <x:f>IF(C14&gt;='Inputs'!$B$32,'Case Inputs'!$P$4,0)</x:f>
        <x:v>1000</x:v>
      </x:c>
      <x:c r="AA14" s="32" t="n">
        <x:f>IF(C14=1,'Case Inputs'!$M$4*'Inputs'!$B$30,IF(C14=2,'Case Inputs'!$M$4*'Inputs'!$B$31,0))</x:f>
        <x:v>0</x:v>
      </x:c>
      <x:c r="AB14" s="34" t="n">
        <x:f>V14-SUM(X14:AA14)</x:f>
        <x:v>-351.32299999999987</x:v>
      </x:c>
      <x:c r="AC14" s="32" t="n">
        <x:f>IF(C14&gt;'Inputs'!$B$24,INDEX($I$2:$I$25,MAX(1,C14-'Inputs'!$B$24)),0)+IF(C14&gt;'Inputs'!$B$25,INDEX($J$2:$J$25,MAX(1,C14-'Inputs'!$B$25)),0)+M14+O14</x:f>
        <x:v>1750.75</x:v>
      </x:c>
      <x:c r="AD14" s="34" t="n">
        <x:f>U14+SUM(X14:AA14)</x:f>
        <x:v>2985.573</x:v>
      </x:c>
      <x:c r="AE14" s="34" t="n">
        <x:f>AC14-AD14</x:f>
        <x:v>-1234.8229999999999</x:v>
      </x:c>
      <x:c r="AF14" s="34" t="n">
        <x:f>SUM($AE$2:AE14)</x:f>
        <x:v>-13163.7419</x:v>
      </x:c>
      <x:c r="AG14" s="32" t="n">
        <x:f>'Inputs'!$B$22*'Inputs'!$B$23</x:f>
        <x:v>4000</x:v>
      </x:c>
      <x:c r="AH14" s="34" t="n">
        <x:f>AB14-AG14</x:f>
        <x:v>-4351.323</x:v>
      </x:c>
    </x:row>
    <x:row r="15" ht="32" customHeight="1">
      <x:c r="A15" s="4" t="str">
        <x:v>Breakout</x:v>
      </x:c>
      <x:c r="B15" s="22" t="n">
        <x:v>46661</x:v>
      </x:c>
      <x:c r="C15" s="4" t="n">
        <x:v>14</x:v>
      </x:c>
      <x:c r="D15" s="24" t="n">
        <x:v>70000</x:v>
      </x:c>
      <x:c r="E15" s="30" t="n">
        <x:f>D15*'Inputs'!$B$2*'Inputs'!$B$3</x:f>
        <x:v>385000.00000000006</x:v>
      </x:c>
      <x:c r="F15" s="30" t="n">
        <x:f>E15*'Inputs'!$B$4</x:f>
        <x:v>3080000.0000000005</x:v>
      </x:c>
      <x:c r="G15" s="30" t="n">
        <x:f>E15*'Inputs'!$B$5/'Inputs'!$B$26</x:f>
        <x:v>134.75</x:v>
      </x:c>
      <x:c r="H15" s="30" t="n">
        <x:f>IF(C15&gt;='Case Inputs'!$G$4,D15*'Case Inputs'!$B$4,0)</x:f>
        <x:v>2800</x:v>
      </x:c>
      <x:c r="I15" s="32" t="n">
        <x:f>H15*'Case Inputs'!$C$4*'Case Inputs'!$D$4*'Case Inputs'!$E$4</x:f>
        <x:v>1785</x:v>
      </x:c>
      <x:c r="J15" s="32" t="n">
        <x:f>IF(AND(C15&gt;='Case Inputs'!$F$4,D15&gt;='Inputs'!$B$16),E15*'Inputs'!$B$14*'Inputs'!$B$15/'Inputs'!$B$27,0)</x:f>
        <x:v>1155.0000000000002</x:v>
      </x:c>
      <x:c r="K15" s="24" t="n">
        <x:v>4</x:v>
      </x:c>
      <x:c r="L15" s="32" t="n">
        <x:f>IF(C15&lt;='Inputs'!$B$33,'Case Inputs'!$J$4,'Case Inputs'!$K$4)</x:f>
        <x:v>500</x:v>
      </x:c>
      <x:c r="M15" s="34" t="n">
        <x:f>K15*L15</x:f>
        <x:v>2000</x:v>
      </x:c>
      <x:c r="N15" s="25" t="n">
        <x:f>IF(C15&gt;='Case Inputs'!$H$4,D15*'Case Inputs'!$I$4,0)</x:f>
        <x:v>175</x:v>
      </x:c>
      <x:c r="O15" s="32" t="n">
        <x:f>N15*'Inputs'!$B$20</x:f>
        <x:v>873.25</x:v>
      </x:c>
      <x:c r="P15" s="34" t="n">
        <x:f>SUM(I15:J15)+M15+O15</x:f>
        <x:v>5813.25</x:v>
      </x:c>
      <x:c r="Q15" s="32" t="n">
        <x:f>IF(F15&lt;='Inputs'!$B$7,0,IF(F15&lt;='Inputs'!$B$8,'Inputs'!$B$10,IF(F15&lt;='Inputs'!$B$9,'Inputs'!$B$11,'Inputs'!$B$12)))</x:f>
        <x:v>20</x:v>
      </x:c>
      <x:c r="R15" s="32" t="n">
        <x:f>'Inputs'!$B$6+Q15+D15*'Inputs'!$B$13</x:f>
        <x:v>110</x:v>
      </x:c>
      <x:c r="S15" s="32" t="n">
        <x:f>IF(C15&gt;='Inputs'!$B$32,'Case Inputs'!$L$4,0)</x:f>
        <x:v>250</x:v>
      </x:c>
      <x:c r="T15" s="32" t="n">
        <x:f>(M15+O15)*'Inputs'!$B$17+(K15*'Inputs'!$B$28+N15*'Inputs'!$B$29)*'Inputs'!$B$18+O15*'Inputs'!$B$19</x:f>
        <x:v>143.137</x:v>
      </x:c>
      <x:c r="U15" s="34" t="n">
        <x:f>SUM(R15:T15)</x:f>
        <x:v>503.137</x:v>
      </x:c>
      <x:c r="V15" s="34" t="n">
        <x:f>P15-U15</x:f>
        <x:v>5310.113</x:v>
      </x:c>
      <x:c r="W15" s="28" t="n">
        <x:f>IF(P15=0,"",V15/P15)</x:f>
        <x:v>0.9134499634455769</x:v>
      </x:c>
      <x:c r="X15" s="32" t="n">
        <x:f>'Inputs'!$B$21</x:f>
        <x:v>100</x:v>
      </x:c>
      <x:c r="Y15" s="32" t="n">
        <x:f>IF(OR(MONTH(B15)&gt;=9,MONTH(B15)&lt;=4),'Case Inputs'!$N$4,'Case Inputs'!$O$4)</x:f>
        <x:v>1500</x:v>
      </x:c>
      <x:c r="Z15" s="32" t="n">
        <x:f>IF(C15&gt;='Inputs'!$B$32,'Case Inputs'!$P$4,0)</x:f>
        <x:v>1000</x:v>
      </x:c>
      <x:c r="AA15" s="32" t="n">
        <x:f>IF(C15=1,'Case Inputs'!$M$4*'Inputs'!$B$30,IF(C15=2,'Case Inputs'!$M$4*'Inputs'!$B$31,0))</x:f>
        <x:v>0</x:v>
      </x:c>
      <x:c r="AB15" s="34" t="n">
        <x:f>V15-SUM(X15:AA15)</x:f>
        <x:v>2710.1130000000003</x:v>
      </x:c>
      <x:c r="AC15" s="32" t="n">
        <x:f>IF(C15&gt;'Inputs'!$B$24,INDEX($I$2:$I$25,MAX(1,C15-'Inputs'!$B$24)),0)+IF(C15&gt;'Inputs'!$B$25,INDEX($J$2:$J$25,MAX(1,C15-'Inputs'!$B$25)),0)+M15+O15</x:f>
        <x:v>3674.25</x:v>
      </x:c>
      <x:c r="AD15" s="34" t="n">
        <x:f>U15+SUM(X15:AA15)</x:f>
        <x:v>3103.137</x:v>
      </x:c>
      <x:c r="AE15" s="34" t="n">
        <x:f>AC15-AD15</x:f>
        <x:v>571.1129999999998</x:v>
      </x:c>
      <x:c r="AF15" s="34" t="n">
        <x:f>SUM($AE$2:AE15)</x:f>
        <x:v>-12592.628900000002</x:v>
      </x:c>
      <x:c r="AG15" s="32" t="n">
        <x:f>'Inputs'!$B$22*'Inputs'!$B$23</x:f>
        <x:v>4000</x:v>
      </x:c>
      <x:c r="AH15" s="34" t="n">
        <x:f>AB15-AG15</x:f>
        <x:v>-1289.8869999999997</x:v>
      </x:c>
    </x:row>
    <x:row r="16" ht="32" customHeight="1">
      <x:c r="A16" s="4" t="str">
        <x:v>Breakout</x:v>
      </x:c>
      <x:c r="B16" s="22" t="n">
        <x:v>46692</x:v>
      </x:c>
      <x:c r="C16" s="4" t="n">
        <x:v>15</x:v>
      </x:c>
      <x:c r="D16" s="24" t="n">
        <x:v>150000</x:v>
      </x:c>
      <x:c r="E16" s="30" t="n">
        <x:f>D16*'Inputs'!$B$2*'Inputs'!$B$3</x:f>
        <x:v>825000.0000000001</x:v>
      </x:c>
      <x:c r="F16" s="30" t="n">
        <x:f>E16*'Inputs'!$B$4</x:f>
        <x:v>6600000.000000001</x:v>
      </x:c>
      <x:c r="G16" s="30" t="n">
        <x:f>E16*'Inputs'!$B$5/'Inputs'!$B$26</x:f>
        <x:v>288.75</x:v>
      </x:c>
      <x:c r="H16" s="30" t="n">
        <x:f>IF(C16&gt;='Case Inputs'!$G$4,D16*'Case Inputs'!$B$4,0)</x:f>
        <x:v>6000</x:v>
      </x:c>
      <x:c r="I16" s="32" t="n">
        <x:f>H16*'Case Inputs'!$C$4*'Case Inputs'!$D$4*'Case Inputs'!$E$4</x:f>
        <x:v>3825</x:v>
      </x:c>
      <x:c r="J16" s="32" t="n">
        <x:f>IF(AND(C16&gt;='Case Inputs'!$F$4,D16&gt;='Inputs'!$B$16),E16*'Inputs'!$B$14*'Inputs'!$B$15/'Inputs'!$B$27,0)</x:f>
        <x:v>2475.0000000000005</x:v>
      </x:c>
      <x:c r="K16" s="24" t="n">
        <x:v>6</x:v>
      </x:c>
      <x:c r="L16" s="32" t="n">
        <x:f>IF(C16&lt;='Inputs'!$B$33,'Case Inputs'!$J$4,'Case Inputs'!$K$4)</x:f>
        <x:v>500</x:v>
      </x:c>
      <x:c r="M16" s="34" t="n">
        <x:f>K16*L16</x:f>
        <x:v>3000</x:v>
      </x:c>
      <x:c r="N16" s="25" t="n">
        <x:f>IF(C16&gt;='Case Inputs'!$H$4,D16*'Case Inputs'!$I$4,0)</x:f>
        <x:v>375</x:v>
      </x:c>
      <x:c r="O16" s="32" t="n">
        <x:f>N16*'Inputs'!$B$20</x:f>
        <x:v>1871.25</x:v>
      </x:c>
      <x:c r="P16" s="34" t="n">
        <x:f>SUM(I16:J16)+M16+O16</x:f>
        <x:v>11171.25</x:v>
      </x:c>
      <x:c r="Q16" s="32" t="n">
        <x:f>IF(F16&lt;='Inputs'!$B$7,0,IF(F16&lt;='Inputs'!$B$8,'Inputs'!$B$10,IF(F16&lt;='Inputs'!$B$9,'Inputs'!$B$11,'Inputs'!$B$12)))</x:f>
        <x:v>20</x:v>
      </x:c>
      <x:c r="R16" s="32" t="n">
        <x:f>'Inputs'!$B$6+Q16+D16*'Inputs'!$B$13</x:f>
        <x:v>190</x:v>
      </x:c>
      <x:c r="S16" s="32" t="n">
        <x:f>IF(C16&gt;='Inputs'!$B$32,'Case Inputs'!$L$4,0)</x:f>
        <x:v>250</x:v>
      </x:c>
      <x:c r="T16" s="32" t="n">
        <x:f>(M16+O16)*'Inputs'!$B$17+(K16*'Inputs'!$B$28+N16*'Inputs'!$B$29)*'Inputs'!$B$18+O16*'Inputs'!$B$19</x:f>
        <x:v>268.665</x:v>
      </x:c>
      <x:c r="U16" s="34" t="n">
        <x:f>SUM(R16:T16)</x:f>
        <x:v>708.665</x:v>
      </x:c>
      <x:c r="V16" s="34" t="n">
        <x:f>P16-U16</x:f>
        <x:v>10462.585</x:v>
      </x:c>
      <x:c r="W16" s="28" t="n">
        <x:f>IF(P16=0,"",V16/P16)</x:f>
        <x:v>0.9365635000559471</x:v>
      </x:c>
      <x:c r="X16" s="32" t="n">
        <x:f>'Inputs'!$B$21</x:f>
        <x:v>100</x:v>
      </x:c>
      <x:c r="Y16" s="32" t="n">
        <x:f>IF(OR(MONTH(B16)&gt;=9,MONTH(B16)&lt;=4),'Case Inputs'!$N$4,'Case Inputs'!$O$4)</x:f>
        <x:v>1500</x:v>
      </x:c>
      <x:c r="Z16" s="32" t="n">
        <x:f>IF(C16&gt;='Inputs'!$B$32,'Case Inputs'!$P$4,0)</x:f>
        <x:v>1000</x:v>
      </x:c>
      <x:c r="AA16" s="32" t="n">
        <x:f>IF(C16=1,'Case Inputs'!$M$4*'Inputs'!$B$30,IF(C16=2,'Case Inputs'!$M$4*'Inputs'!$B$31,0))</x:f>
        <x:v>0</x:v>
      </x:c>
      <x:c r="AB16" s="34" t="n">
        <x:f>V16-SUM(X16:AA16)</x:f>
        <x:v>7862.584999999999</x:v>
      </x:c>
      <x:c r="AC16" s="32" t="n">
        <x:f>IF(C16&gt;'Inputs'!$B$24,INDEX($I$2:$I$25,MAX(1,C16-'Inputs'!$B$24)),0)+IF(C16&gt;'Inputs'!$B$25,INDEX($J$2:$J$25,MAX(1,C16-'Inputs'!$B$25)),0)+M16+O16</x:f>
        <x:v>6791.25</x:v>
      </x:c>
      <x:c r="AD16" s="34" t="n">
        <x:f>U16+SUM(X16:AA16)</x:f>
        <x:v>3308.665</x:v>
      </x:c>
      <x:c r="AE16" s="34" t="n">
        <x:f>AC16-AD16</x:f>
        <x:v>3482.585</x:v>
      </x:c>
      <x:c r="AF16" s="34" t="n">
        <x:f>SUM($AE$2:AE16)</x:f>
        <x:v>-9110.0439</x:v>
      </x:c>
      <x:c r="AG16" s="32" t="n">
        <x:f>'Inputs'!$B$22*'Inputs'!$B$23</x:f>
        <x:v>4000</x:v>
      </x:c>
      <x:c r="AH16" s="34" t="n">
        <x:f>AB16-AG16</x:f>
        <x:v>3862.584999999999</x:v>
      </x:c>
    </x:row>
    <x:row r="17" ht="32" customHeight="1">
      <x:c r="A17" s="4" t="str">
        <x:v>Breakout</x:v>
      </x:c>
      <x:c r="B17" s="22" t="n">
        <x:v>46722</x:v>
      </x:c>
      <x:c r="C17" s="4" t="n">
        <x:v>16</x:v>
      </x:c>
      <x:c r="D17" s="24" t="n">
        <x:v>250000</x:v>
      </x:c>
      <x:c r="E17" s="30" t="n">
        <x:f>D17*'Inputs'!$B$2*'Inputs'!$B$3</x:f>
        <x:v>1375000</x:v>
      </x:c>
      <x:c r="F17" s="30" t="n">
        <x:f>E17*'Inputs'!$B$4</x:f>
        <x:v>11000000</x:v>
      </x:c>
      <x:c r="G17" s="30" t="n">
        <x:f>E17*'Inputs'!$B$5/'Inputs'!$B$26</x:f>
        <x:v>481.24999999999994</x:v>
      </x:c>
      <x:c r="H17" s="30" t="n">
        <x:f>IF(C17&gt;='Case Inputs'!$G$4,D17*'Case Inputs'!$B$4,0)</x:f>
        <x:v>10000</x:v>
      </x:c>
      <x:c r="I17" s="32" t="n">
        <x:f>H17*'Case Inputs'!$C$4*'Case Inputs'!$D$4*'Case Inputs'!$E$4</x:f>
        <x:v>6375</x:v>
      </x:c>
      <x:c r="J17" s="32" t="n">
        <x:f>IF(AND(C17&gt;='Case Inputs'!$F$4,D17&gt;='Inputs'!$B$16),E17*'Inputs'!$B$14*'Inputs'!$B$15/'Inputs'!$B$27,0)</x:f>
        <x:v>4125</x:v>
      </x:c>
      <x:c r="K17" s="24" t="n">
        <x:v>10</x:v>
      </x:c>
      <x:c r="L17" s="32" t="n">
        <x:f>IF(C17&lt;='Inputs'!$B$33,'Case Inputs'!$J$4,'Case Inputs'!$K$4)</x:f>
        <x:v>500</x:v>
      </x:c>
      <x:c r="M17" s="34" t="n">
        <x:f>K17*L17</x:f>
        <x:v>5000</x:v>
      </x:c>
      <x:c r="N17" s="25" t="n">
        <x:f>IF(C17&gt;='Case Inputs'!$H$4,D17*'Case Inputs'!$I$4,0)</x:f>
        <x:v>625</x:v>
      </x:c>
      <x:c r="O17" s="32" t="n">
        <x:f>N17*'Inputs'!$B$20</x:f>
        <x:v>3118.75</x:v>
      </x:c>
      <x:c r="P17" s="34" t="n">
        <x:f>SUM(I17:J17)+M17+O17</x:f>
        <x:v>18618.75</x:v>
      </x:c>
      <x:c r="Q17" s="32" t="n">
        <x:f>IF(F17&lt;='Inputs'!$B$7,0,IF(F17&lt;='Inputs'!$B$8,'Inputs'!$B$10,IF(F17&lt;='Inputs'!$B$9,'Inputs'!$B$11,'Inputs'!$B$12)))</x:f>
        <x:v>100</x:v>
      </x:c>
      <x:c r="R17" s="32" t="n">
        <x:f>'Inputs'!$B$6+Q17+D17*'Inputs'!$B$13</x:f>
        <x:v>370</x:v>
      </x:c>
      <x:c r="S17" s="32" t="n">
        <x:f>IF(C17&gt;='Inputs'!$B$32,'Case Inputs'!$L$4,0)</x:f>
        <x:v>250</x:v>
      </x:c>
      <x:c r="T17" s="32" t="n">
        <x:f>(M17+O17)*'Inputs'!$B$17+(K17*'Inputs'!$B$28+N17*'Inputs'!$B$29)*'Inputs'!$B$18+O17*'Inputs'!$B$19</x:f>
        <x:v>447.77500000000003</x:v>
      </x:c>
      <x:c r="U17" s="34" t="n">
        <x:f>SUM(R17:T17)</x:f>
        <x:v>1067.775</x:v>
      </x:c>
      <x:c r="V17" s="34" t="n">
        <x:f>P17-U17</x:f>
        <x:v>17550.975</x:v>
      </x:c>
      <x:c r="W17" s="28" t="n">
        <x:f>IF(P17=0,"",V17/P17)</x:f>
        <x:v>0.9426505538771399</x:v>
      </x:c>
      <x:c r="X17" s="32" t="n">
        <x:f>'Inputs'!$B$21</x:f>
        <x:v>100</x:v>
      </x:c>
      <x:c r="Y17" s="32" t="n">
        <x:f>IF(OR(MONTH(B17)&gt;=9,MONTH(B17)&lt;=4),'Case Inputs'!$N$4,'Case Inputs'!$O$4)</x:f>
        <x:v>1500</x:v>
      </x:c>
      <x:c r="Z17" s="32" t="n">
        <x:f>IF(C17&gt;='Inputs'!$B$32,'Case Inputs'!$P$4,0)</x:f>
        <x:v>1000</x:v>
      </x:c>
      <x:c r="AA17" s="32" t="n">
        <x:f>IF(C17=1,'Case Inputs'!$M$4*'Inputs'!$B$30,IF(C17=2,'Case Inputs'!$M$4*'Inputs'!$B$31,0))</x:f>
        <x:v>0</x:v>
      </x:c>
      <x:c r="AB17" s="34" t="n">
        <x:f>V17-SUM(X17:AA17)</x:f>
        <x:v>14950.974999999999</x:v>
      </x:c>
      <x:c r="AC17" s="32" t="n">
        <x:f>IF(C17&gt;'Inputs'!$B$24,INDEX($I$2:$I$25,MAX(1,C17-'Inputs'!$B$24)),0)+IF(C17&gt;'Inputs'!$B$25,INDEX($J$2:$J$25,MAX(1,C17-'Inputs'!$B$25)),0)+M17+O17</x:f>
        <x:v>12378.75</x:v>
      </x:c>
      <x:c r="AD17" s="34" t="n">
        <x:f>U17+SUM(X17:AA17)</x:f>
        <x:v>3667.775</x:v>
      </x:c>
      <x:c r="AE17" s="34" t="n">
        <x:f>AC17-AD17</x:f>
        <x:v>8710.975</x:v>
      </x:c>
      <x:c r="AF17" s="34" t="n">
        <x:f>SUM($AE$2:AE17)</x:f>
        <x:v>-399.0689000000002</x:v>
      </x:c>
      <x:c r="AG17" s="32" t="n">
        <x:f>'Inputs'!$B$22*'Inputs'!$B$23</x:f>
        <x:v>4000</x:v>
      </x:c>
      <x:c r="AH17" s="34" t="n">
        <x:f>AB17-AG17</x:f>
        <x:v>10950.974999999999</x:v>
      </x:c>
    </x:row>
    <x:row r="18" ht="32" customHeight="1">
      <x:c r="A18" s="4" t="str">
        <x:v>Breakout</x:v>
      </x:c>
      <x:c r="B18" s="22" t="n">
        <x:v>46753</x:v>
      </x:c>
      <x:c r="C18" s="4" t="n">
        <x:v>17</x:v>
      </x:c>
      <x:c r="D18" s="24" t="n">
        <x:v>400000</x:v>
      </x:c>
      <x:c r="E18" s="30" t="n">
        <x:f>D18*'Inputs'!$B$2*'Inputs'!$B$3</x:f>
        <x:v>2200000</x:v>
      </x:c>
      <x:c r="F18" s="30" t="n">
        <x:f>E18*'Inputs'!$B$4</x:f>
        <x:v>17600000</x:v>
      </x:c>
      <x:c r="G18" s="30" t="n">
        <x:f>E18*'Inputs'!$B$5/'Inputs'!$B$26</x:f>
        <x:v>770</x:v>
      </x:c>
      <x:c r="H18" s="30" t="n">
        <x:f>IF(C18&gt;='Case Inputs'!$G$4,D18*'Case Inputs'!$B$4,0)</x:f>
        <x:v>16000</x:v>
      </x:c>
      <x:c r="I18" s="32" t="n">
        <x:f>H18*'Case Inputs'!$C$4*'Case Inputs'!$D$4*'Case Inputs'!$E$4</x:f>
        <x:v>10200</x:v>
      </x:c>
      <x:c r="J18" s="32" t="n">
        <x:f>IF(AND(C18&gt;='Case Inputs'!$F$4,D18&gt;='Inputs'!$B$16),E18*'Inputs'!$B$14*'Inputs'!$B$15/'Inputs'!$B$27,0)</x:f>
        <x:v>6600</x:v>
      </x:c>
      <x:c r="K18" s="24" t="n">
        <x:v>12</x:v>
      </x:c>
      <x:c r="L18" s="32" t="n">
        <x:f>IF(C18&lt;='Inputs'!$B$33,'Case Inputs'!$J$4,'Case Inputs'!$K$4)</x:f>
        <x:v>500</x:v>
      </x:c>
      <x:c r="M18" s="34" t="n">
        <x:f>K18*L18</x:f>
        <x:v>6000</x:v>
      </x:c>
      <x:c r="N18" s="25" t="n">
        <x:f>IF(C18&gt;='Case Inputs'!$H$4,D18*'Case Inputs'!$I$4,0)</x:f>
        <x:v>1000</x:v>
      </x:c>
      <x:c r="O18" s="32" t="n">
        <x:f>N18*'Inputs'!$B$20</x:f>
        <x:v>4990</x:v>
      </x:c>
      <x:c r="P18" s="34" t="n">
        <x:f>SUM(I18:J18)+M18+O18</x:f>
        <x:v>27790</x:v>
      </x:c>
      <x:c r="Q18" s="32" t="n">
        <x:f>IF(F18&lt;='Inputs'!$B$7,0,IF(F18&lt;='Inputs'!$B$8,'Inputs'!$B$10,IF(F18&lt;='Inputs'!$B$9,'Inputs'!$B$11,'Inputs'!$B$12)))</x:f>
        <x:v>100</x:v>
      </x:c>
      <x:c r="R18" s="32" t="n">
        <x:f>'Inputs'!$B$6+Q18+D18*'Inputs'!$B$13</x:f>
        <x:v>520</x:v>
      </x:c>
      <x:c r="S18" s="32" t="n">
        <x:f>IF(C18&gt;='Inputs'!$B$32,'Case Inputs'!$L$4,0)</x:f>
        <x:v>250</x:v>
      </x:c>
      <x:c r="T18" s="32" t="n">
        <x:f>(M18+O18)*'Inputs'!$B$17+(K18*'Inputs'!$B$28+N18*'Inputs'!$B$29)*'Inputs'!$B$18+O18*'Inputs'!$B$19</x:f>
        <x:v>657.2399999999999</x:v>
      </x:c>
      <x:c r="U18" s="34" t="n">
        <x:f>SUM(R18:T18)</x:f>
        <x:v>1427.2399999999998</x:v>
      </x:c>
      <x:c r="V18" s="34" t="n">
        <x:f>P18-U18</x:f>
        <x:v>26362.760000000002</x:v>
      </x:c>
      <x:c r="W18" s="28" t="n">
        <x:f>IF(P18=0,"",V18/P18)</x:f>
        <x:v>0.9486419575386831</x:v>
      </x:c>
      <x:c r="X18" s="32" t="n">
        <x:f>'Inputs'!$B$21</x:f>
        <x:v>100</x:v>
      </x:c>
      <x:c r="Y18" s="32" t="n">
        <x:f>IF(OR(MONTH(B18)&gt;=9,MONTH(B18)&lt;=4),'Case Inputs'!$N$4,'Case Inputs'!$O$4)</x:f>
        <x:v>1500</x:v>
      </x:c>
      <x:c r="Z18" s="32" t="n">
        <x:f>IF(C18&gt;='Inputs'!$B$32,'Case Inputs'!$P$4,0)</x:f>
        <x:v>1000</x:v>
      </x:c>
      <x:c r="AA18" s="32" t="n">
        <x:f>IF(C18=1,'Case Inputs'!$M$4*'Inputs'!$B$30,IF(C18=2,'Case Inputs'!$M$4*'Inputs'!$B$31,0))</x:f>
        <x:v>0</x:v>
      </x:c>
      <x:c r="AB18" s="34" t="n">
        <x:f>V18-SUM(X18:AA18)</x:f>
        <x:v>23762.760000000002</x:v>
      </x:c>
      <x:c r="AC18" s="32" t="n">
        <x:f>IF(C18&gt;'Inputs'!$B$24,INDEX($I$2:$I$25,MAX(1,C18-'Inputs'!$B$24)),0)+IF(C18&gt;'Inputs'!$B$25,INDEX($J$2:$J$25,MAX(1,C18-'Inputs'!$B$25)),0)+M18+O18</x:f>
        <x:v>18940</x:v>
      </x:c>
      <x:c r="AD18" s="34" t="n">
        <x:f>U18+SUM(X18:AA18)</x:f>
        <x:v>4027.24</x:v>
      </x:c>
      <x:c r="AE18" s="34" t="n">
        <x:f>AC18-AD18</x:f>
        <x:v>14912.76</x:v>
      </x:c>
      <x:c r="AF18" s="34" t="n">
        <x:f>SUM($AE$2:AE18)</x:f>
        <x:v>14513.6911</x:v>
      </x:c>
      <x:c r="AG18" s="32" t="n">
        <x:f>'Inputs'!$B$22*'Inputs'!$B$23</x:f>
        <x:v>4000</x:v>
      </x:c>
      <x:c r="AH18" s="34" t="n">
        <x:f>AB18-AG18</x:f>
        <x:v>19762.760000000002</x:v>
      </x:c>
    </x:row>
    <x:row r="19" ht="32" customHeight="1">
      <x:c r="A19" s="4" t="str">
        <x:v>Breakout</x:v>
      </x:c>
      <x:c r="B19" s="22" t="n">
        <x:v>46784</x:v>
      </x:c>
      <x:c r="C19" s="4" t="n">
        <x:v>18</x:v>
      </x:c>
      <x:c r="D19" s="24" t="n">
        <x:v>500000</x:v>
      </x:c>
      <x:c r="E19" s="30" t="n">
        <x:f>D19*'Inputs'!$B$2*'Inputs'!$B$3</x:f>
        <x:v>2750000</x:v>
      </x:c>
      <x:c r="F19" s="30" t="n">
        <x:f>E19*'Inputs'!$B$4</x:f>
        <x:v>22000000</x:v>
      </x:c>
      <x:c r="G19" s="30" t="n">
        <x:f>E19*'Inputs'!$B$5/'Inputs'!$B$26</x:f>
        <x:v>962.4999999999999</x:v>
      </x:c>
      <x:c r="H19" s="30" t="n">
        <x:f>IF(C19&gt;='Case Inputs'!$G$4,D19*'Case Inputs'!$B$4,0)</x:f>
        <x:v>20000</x:v>
      </x:c>
      <x:c r="I19" s="32" t="n">
        <x:f>H19*'Case Inputs'!$C$4*'Case Inputs'!$D$4*'Case Inputs'!$E$4</x:f>
        <x:v>12750</x:v>
      </x:c>
      <x:c r="J19" s="32" t="n">
        <x:f>IF(AND(C19&gt;='Case Inputs'!$F$4,D19&gt;='Inputs'!$B$16),E19*'Inputs'!$B$14*'Inputs'!$B$15/'Inputs'!$B$27,0)</x:f>
        <x:v>8250</x:v>
      </x:c>
      <x:c r="K19" s="24" t="n">
        <x:v>15</x:v>
      </x:c>
      <x:c r="L19" s="32" t="n">
        <x:f>IF(C19&lt;='Inputs'!$B$33,'Case Inputs'!$J$4,'Case Inputs'!$K$4)</x:f>
        <x:v>500</x:v>
      </x:c>
      <x:c r="M19" s="34" t="n">
        <x:f>K19*L19</x:f>
        <x:v>7500</x:v>
      </x:c>
      <x:c r="N19" s="25" t="n">
        <x:f>IF(C19&gt;='Case Inputs'!$H$4,D19*'Case Inputs'!$I$4,0)</x:f>
        <x:v>1250</x:v>
      </x:c>
      <x:c r="O19" s="32" t="n">
        <x:f>N19*'Inputs'!$B$20</x:f>
        <x:v>6237.5</x:v>
      </x:c>
      <x:c r="P19" s="34" t="n">
        <x:f>SUM(I19:J19)+M19+O19</x:f>
        <x:v>34737.5</x:v>
      </x:c>
      <x:c r="Q19" s="32" t="n">
        <x:f>IF(F19&lt;='Inputs'!$B$7,0,IF(F19&lt;='Inputs'!$B$8,'Inputs'!$B$10,IF(F19&lt;='Inputs'!$B$9,'Inputs'!$B$11,'Inputs'!$B$12)))</x:f>
        <x:v>100</x:v>
      </x:c>
      <x:c r="R19" s="32" t="n">
        <x:f>'Inputs'!$B$6+Q19+D19*'Inputs'!$B$13</x:f>
        <x:v>620</x:v>
      </x:c>
      <x:c r="S19" s="32" t="n">
        <x:f>IF(C19&gt;='Inputs'!$B$32,'Case Inputs'!$L$4,0)</x:f>
        <x:v>250</x:v>
      </x:c>
      <x:c r="T19" s="32" t="n">
        <x:f>(M19+O19)*'Inputs'!$B$17+(K19*'Inputs'!$B$28+N19*'Inputs'!$B$29)*'Inputs'!$B$18+O19*'Inputs'!$B$19</x:f>
        <x:v>821.5500000000001</x:v>
      </x:c>
      <x:c r="U19" s="34" t="n">
        <x:f>SUM(R19:T19)</x:f>
        <x:v>1691.5500000000002</x:v>
      </x:c>
      <x:c r="V19" s="34" t="n">
        <x:f>P19-U19</x:f>
        <x:v>33045.95</x:v>
      </x:c>
      <x:c r="W19" s="28" t="n">
        <x:f>IF(P19=0,"",V19/P19)</x:f>
        <x:v>0.9513047858942064</x:v>
      </x:c>
      <x:c r="X19" s="32" t="n">
        <x:f>'Inputs'!$B$21</x:f>
        <x:v>100</x:v>
      </x:c>
      <x:c r="Y19" s="32" t="n">
        <x:f>IF(OR(MONTH(B19)&gt;=9,MONTH(B19)&lt;=4),'Case Inputs'!$N$4,'Case Inputs'!$O$4)</x:f>
        <x:v>1500</x:v>
      </x:c>
      <x:c r="Z19" s="32" t="n">
        <x:f>IF(C19&gt;='Inputs'!$B$32,'Case Inputs'!$P$4,0)</x:f>
        <x:v>1000</x:v>
      </x:c>
      <x:c r="AA19" s="32" t="n">
        <x:f>IF(C19=1,'Case Inputs'!$M$4*'Inputs'!$B$30,IF(C19=2,'Case Inputs'!$M$4*'Inputs'!$B$31,0))</x:f>
        <x:v>0</x:v>
      </x:c>
      <x:c r="AB19" s="34" t="n">
        <x:f>V19-SUM(X19:AA19)</x:f>
        <x:v>30445.949999999997</x:v>
      </x:c>
      <x:c r="AC19" s="32" t="n">
        <x:f>IF(C19&gt;'Inputs'!$B$24,INDEX($I$2:$I$25,MAX(1,C19-'Inputs'!$B$24)),0)+IF(C19&gt;'Inputs'!$B$25,INDEX($J$2:$J$25,MAX(1,C19-'Inputs'!$B$25)),0)+M19+O19</x:f>
        <x:v>26712.5</x:v>
      </x:c>
      <x:c r="AD19" s="34" t="n">
        <x:f>U19+SUM(X19:AA19)</x:f>
        <x:v>4291.55</x:v>
      </x:c>
      <x:c r="AE19" s="34" t="n">
        <x:f>AC19-AD19</x:f>
        <x:v>22420.95</x:v>
      </x:c>
      <x:c r="AF19" s="34" t="n">
        <x:f>SUM($AE$2:AE19)</x:f>
        <x:v>36934.6411</x:v>
      </x:c>
      <x:c r="AG19" s="32" t="n">
        <x:f>'Inputs'!$B$22*'Inputs'!$B$23</x:f>
        <x:v>4000</x:v>
      </x:c>
      <x:c r="AH19" s="34" t="n">
        <x:f>AB19-AG19</x:f>
        <x:v>26445.949999999997</x:v>
      </x:c>
    </x:row>
    <x:row r="20" ht="32" customHeight="1">
      <x:c r="A20" s="4" t="str">
        <x:v>Breakout</x:v>
      </x:c>
      <x:c r="B20" s="22" t="n">
        <x:v>46813</x:v>
      </x:c>
      <x:c r="C20" s="4" t="n">
        <x:v>19</x:v>
      </x:c>
      <x:c r="D20" s="24" t="n">
        <x:v>350000</x:v>
      </x:c>
      <x:c r="E20" s="30" t="n">
        <x:f>D20*'Inputs'!$B$2*'Inputs'!$B$3</x:f>
        <x:v>1925000.0000000002</x:v>
      </x:c>
      <x:c r="F20" s="30" t="n">
        <x:f>E20*'Inputs'!$B$4</x:f>
        <x:v>15400000.000000002</x:v>
      </x:c>
      <x:c r="G20" s="30" t="n">
        <x:f>E20*'Inputs'!$B$5/'Inputs'!$B$26</x:f>
        <x:v>673.75</x:v>
      </x:c>
      <x:c r="H20" s="30" t="n">
        <x:f>IF(C20&gt;='Case Inputs'!$G$4,D20*'Case Inputs'!$B$4,0)</x:f>
        <x:v>14000</x:v>
      </x:c>
      <x:c r="I20" s="32" t="n">
        <x:f>H20*'Case Inputs'!$C$4*'Case Inputs'!$D$4*'Case Inputs'!$E$4</x:f>
        <x:v>8925</x:v>
      </x:c>
      <x:c r="J20" s="32" t="n">
        <x:f>IF(AND(C20&gt;='Case Inputs'!$F$4,D20&gt;='Inputs'!$B$16),E20*'Inputs'!$B$14*'Inputs'!$B$15/'Inputs'!$B$27,0)</x:f>
        <x:v>5775</x:v>
      </x:c>
      <x:c r="K20" s="24" t="n">
        <x:v>12</x:v>
      </x:c>
      <x:c r="L20" s="32" t="n">
        <x:f>IF(C20&lt;='Inputs'!$B$33,'Case Inputs'!$J$4,'Case Inputs'!$K$4)</x:f>
        <x:v>500</x:v>
      </x:c>
      <x:c r="M20" s="34" t="n">
        <x:f>K20*L20</x:f>
        <x:v>6000</x:v>
      </x:c>
      <x:c r="N20" s="25" t="n">
        <x:f>IF(C20&gt;='Case Inputs'!$H$4,D20*'Case Inputs'!$I$4,0)</x:f>
        <x:v>875</x:v>
      </x:c>
      <x:c r="O20" s="32" t="n">
        <x:f>N20*'Inputs'!$B$20</x:f>
        <x:v>4366.25</x:v>
      </x:c>
      <x:c r="P20" s="34" t="n">
        <x:f>SUM(I20:J20)+M20+O20</x:f>
        <x:v>25066.25</x:v>
      </x:c>
      <x:c r="Q20" s="32" t="n">
        <x:f>IF(F20&lt;='Inputs'!$B$7,0,IF(F20&lt;='Inputs'!$B$8,'Inputs'!$B$10,IF(F20&lt;='Inputs'!$B$9,'Inputs'!$B$11,'Inputs'!$B$12)))</x:f>
        <x:v>100</x:v>
      </x:c>
      <x:c r="R20" s="32" t="n">
        <x:f>'Inputs'!$B$6+Q20+D20*'Inputs'!$B$13</x:f>
        <x:v>470</x:v>
      </x:c>
      <x:c r="S20" s="32" t="n">
        <x:f>IF(C20&gt;='Inputs'!$B$32,'Case Inputs'!$L$4,0)</x:f>
        <x:v>250</x:v>
      </x:c>
      <x:c r="T20" s="32" t="n">
        <x:f>(M20+O20)*'Inputs'!$B$17+(K20*'Inputs'!$B$28+N20*'Inputs'!$B$29)*'Inputs'!$B$18+O20*'Inputs'!$B$19</x:f>
        <x:v>597.2850000000001</x:v>
      </x:c>
      <x:c r="U20" s="34" t="n">
        <x:f>SUM(R20:T20)</x:f>
        <x:v>1317.285</x:v>
      </x:c>
      <x:c r="V20" s="34" t="n">
        <x:f>P20-U20</x:f>
        <x:v>23748.965</x:v>
      </x:c>
      <x:c r="W20" s="28" t="n">
        <x:f>IF(P20=0,"",V20/P20)</x:f>
        <x:v>0.9474478631626191</x:v>
      </x:c>
      <x:c r="X20" s="32" t="n">
        <x:f>'Inputs'!$B$21</x:f>
        <x:v>100</x:v>
      </x:c>
      <x:c r="Y20" s="32" t="n">
        <x:f>IF(OR(MONTH(B20)&gt;=9,MONTH(B20)&lt;=4),'Case Inputs'!$N$4,'Case Inputs'!$O$4)</x:f>
        <x:v>1500</x:v>
      </x:c>
      <x:c r="Z20" s="32" t="n">
        <x:f>IF(C20&gt;='Inputs'!$B$32,'Case Inputs'!$P$4,0)</x:f>
        <x:v>1000</x:v>
      </x:c>
      <x:c r="AA20" s="32" t="n">
        <x:f>IF(C20=1,'Case Inputs'!$M$4*'Inputs'!$B$30,IF(C20=2,'Case Inputs'!$M$4*'Inputs'!$B$31,0))</x:f>
        <x:v>0</x:v>
      </x:c>
      <x:c r="AB20" s="34" t="n">
        <x:f>V20-SUM(X20:AA20)</x:f>
        <x:v>21148.965</x:v>
      </x:c>
      <x:c r="AC20" s="32" t="n">
        <x:f>IF(C20&gt;'Inputs'!$B$24,INDEX($I$2:$I$25,MAX(1,C20-'Inputs'!$B$24)),0)+IF(C20&gt;'Inputs'!$B$25,INDEX($J$2:$J$25,MAX(1,C20-'Inputs'!$B$25)),0)+M20+O20</x:f>
        <x:v>28816.25</x:v>
      </x:c>
      <x:c r="AD20" s="34" t="n">
        <x:f>U20+SUM(X20:AA20)</x:f>
        <x:v>3917.285</x:v>
      </x:c>
      <x:c r="AE20" s="34" t="n">
        <x:f>AC20-AD20</x:f>
        <x:v>24898.965</x:v>
      </x:c>
      <x:c r="AF20" s="34" t="n">
        <x:f>SUM($AE$2:AE20)</x:f>
        <x:v>61833.606100000005</x:v>
      </x:c>
      <x:c r="AG20" s="32" t="n">
        <x:f>'Inputs'!$B$22*'Inputs'!$B$23</x:f>
        <x:v>4000</x:v>
      </x:c>
      <x:c r="AH20" s="34" t="n">
        <x:f>AB20-AG20</x:f>
        <x:v>17148.965</x:v>
      </x:c>
    </x:row>
    <x:row r="21" ht="32" customHeight="1">
      <x:c r="A21" s="4" t="str">
        <x:v>Breakout</x:v>
      </x:c>
      <x:c r="B21" s="22" t="n">
        <x:v>46844</x:v>
      </x:c>
      <x:c r="C21" s="4" t="n">
        <x:v>20</x:v>
      </x:c>
      <x:c r="D21" s="24" t="n">
        <x:v>160000</x:v>
      </x:c>
      <x:c r="E21" s="30" t="n">
        <x:f>D21*'Inputs'!$B$2*'Inputs'!$B$3</x:f>
        <x:v>880000.0000000001</x:v>
      </x:c>
      <x:c r="F21" s="30" t="n">
        <x:f>E21*'Inputs'!$B$4</x:f>
        <x:v>7040000.000000001</x:v>
      </x:c>
      <x:c r="G21" s="30" t="n">
        <x:f>E21*'Inputs'!$B$5/'Inputs'!$B$26</x:f>
        <x:v>308</x:v>
      </x:c>
      <x:c r="H21" s="30" t="n">
        <x:f>IF(C21&gt;='Case Inputs'!$G$4,D21*'Case Inputs'!$B$4,0)</x:f>
        <x:v>6400</x:v>
      </x:c>
      <x:c r="I21" s="32" t="n">
        <x:f>H21*'Case Inputs'!$C$4*'Case Inputs'!$D$4*'Case Inputs'!$E$4</x:f>
        <x:v>4080</x:v>
      </x:c>
      <x:c r="J21" s="32" t="n">
        <x:f>IF(AND(C21&gt;='Case Inputs'!$F$4,D21&gt;='Inputs'!$B$16),E21*'Inputs'!$B$14*'Inputs'!$B$15/'Inputs'!$B$27,0)</x:f>
        <x:v>2640</x:v>
      </x:c>
      <x:c r="K21" s="24" t="n">
        <x:v>6</x:v>
      </x:c>
      <x:c r="L21" s="32" t="n">
        <x:f>IF(C21&lt;='Inputs'!$B$33,'Case Inputs'!$J$4,'Case Inputs'!$K$4)</x:f>
        <x:v>500</x:v>
      </x:c>
      <x:c r="M21" s="34" t="n">
        <x:f>K21*L21</x:f>
        <x:v>3000</x:v>
      </x:c>
      <x:c r="N21" s="25" t="n">
        <x:f>IF(C21&gt;='Case Inputs'!$H$4,D21*'Case Inputs'!$I$4,0)</x:f>
        <x:v>400</x:v>
      </x:c>
      <x:c r="O21" s="32" t="n">
        <x:f>N21*'Inputs'!$B$20</x:f>
        <x:v>1996</x:v>
      </x:c>
      <x:c r="P21" s="34" t="n">
        <x:f>SUM(I21:J21)+M21+O21</x:f>
        <x:v>11716</x:v>
      </x:c>
      <x:c r="Q21" s="32" t="n">
        <x:f>IF(F21&lt;='Inputs'!$B$7,0,IF(F21&lt;='Inputs'!$B$8,'Inputs'!$B$10,IF(F21&lt;='Inputs'!$B$9,'Inputs'!$B$11,'Inputs'!$B$12)))</x:f>
        <x:v>20</x:v>
      </x:c>
      <x:c r="R21" s="32" t="n">
        <x:f>'Inputs'!$B$6+Q21+D21*'Inputs'!$B$13</x:f>
        <x:v>200</x:v>
      </x:c>
      <x:c r="S21" s="32" t="n">
        <x:f>IF(C21&gt;='Inputs'!$B$32,'Case Inputs'!$L$4,0)</x:f>
        <x:v>250</x:v>
      </x:c>
      <x:c r="T21" s="32" t="n">
        <x:f>(M21+O21)*'Inputs'!$B$17+(K21*'Inputs'!$B$28+N21*'Inputs'!$B$29)*'Inputs'!$B$18+O21*'Inputs'!$B$19</x:f>
        <x:v>280.656</x:v>
      </x:c>
      <x:c r="U21" s="34" t="n">
        <x:f>SUM(R21:T21)</x:f>
        <x:v>730.656</x:v>
      </x:c>
      <x:c r="V21" s="34" t="n">
        <x:f>P21-U21</x:f>
        <x:v>10985.344000000001</x:v>
      </x:c>
      <x:c r="W21" s="28" t="n">
        <x:f>IF(P21=0,"",V21/P21)</x:f>
        <x:v>0.9376360532604986</x:v>
      </x:c>
      <x:c r="X21" s="32" t="n">
        <x:f>'Inputs'!$B$21</x:f>
        <x:v>100</x:v>
      </x:c>
      <x:c r="Y21" s="32" t="n">
        <x:f>IF(OR(MONTH(B21)&gt;=9,MONTH(B21)&lt;=4),'Case Inputs'!$N$4,'Case Inputs'!$O$4)</x:f>
        <x:v>1500</x:v>
      </x:c>
      <x:c r="Z21" s="32" t="n">
        <x:f>IF(C21&gt;='Inputs'!$B$32,'Case Inputs'!$P$4,0)</x:f>
        <x:v>1000</x:v>
      </x:c>
      <x:c r="AA21" s="32" t="n">
        <x:f>IF(C21=1,'Case Inputs'!$M$4*'Inputs'!$B$30,IF(C21=2,'Case Inputs'!$M$4*'Inputs'!$B$31,0))</x:f>
        <x:v>0</x:v>
      </x:c>
      <x:c r="AB21" s="34" t="n">
        <x:f>V21-SUM(X21:AA21)</x:f>
        <x:v>8385.344000000001</x:v>
      </x:c>
      <x:c r="AC21" s="32" t="n">
        <x:f>IF(C21&gt;'Inputs'!$B$24,INDEX($I$2:$I$25,MAX(1,C21-'Inputs'!$B$24)),0)+IF(C21&gt;'Inputs'!$B$25,INDEX($J$2:$J$25,MAX(1,C21-'Inputs'!$B$25)),0)+M21+O21</x:f>
        <x:v>23521</x:v>
      </x:c>
      <x:c r="AD21" s="34" t="n">
        <x:f>U21+SUM(X21:AA21)</x:f>
        <x:v>3330.656</x:v>
      </x:c>
      <x:c r="AE21" s="34" t="n">
        <x:f>AC21-AD21</x:f>
        <x:v>20190.344</x:v>
      </x:c>
      <x:c r="AF21" s="34" t="n">
        <x:f>SUM($AE$2:AE21)</x:f>
        <x:v>82023.9501</x:v>
      </x:c>
      <x:c r="AG21" s="32" t="n">
        <x:f>'Inputs'!$B$22*'Inputs'!$B$23</x:f>
        <x:v>4000</x:v>
      </x:c>
      <x:c r="AH21" s="34" t="n">
        <x:f>AB21-AG21</x:f>
        <x:v>4385.344000000001</x:v>
      </x:c>
    </x:row>
    <x:row r="22" ht="32" customHeight="1">
      <x:c r="A22" s="4" t="str">
        <x:v>Breakout</x:v>
      </x:c>
      <x:c r="B22" s="22" t="n">
        <x:v>46874</x:v>
      </x:c>
      <x:c r="C22" s="4" t="n">
        <x:v>21</x:v>
      </x:c>
      <x:c r="D22" s="24" t="n">
        <x:v>60000</x:v>
      </x:c>
      <x:c r="E22" s="30" t="n">
        <x:f>D22*'Inputs'!$B$2*'Inputs'!$B$3</x:f>
        <x:v>330000</x:v>
      </x:c>
      <x:c r="F22" s="30" t="n">
        <x:f>E22*'Inputs'!$B$4</x:f>
        <x:v>2640000</x:v>
      </x:c>
      <x:c r="G22" s="30" t="n">
        <x:f>E22*'Inputs'!$B$5/'Inputs'!$B$26</x:f>
        <x:v>115.49999999999999</x:v>
      </x:c>
      <x:c r="H22" s="30" t="n">
        <x:f>IF(C22&gt;='Case Inputs'!$G$4,D22*'Case Inputs'!$B$4,0)</x:f>
        <x:v>2400</x:v>
      </x:c>
      <x:c r="I22" s="32" t="n">
        <x:f>H22*'Case Inputs'!$C$4*'Case Inputs'!$D$4*'Case Inputs'!$E$4</x:f>
        <x:v>1530</x:v>
      </x:c>
      <x:c r="J22" s="32" t="n">
        <x:f>IF(AND(C22&gt;='Case Inputs'!$F$4,D22&gt;='Inputs'!$B$16),E22*'Inputs'!$B$14*'Inputs'!$B$15/'Inputs'!$B$27,0)</x:f>
        <x:v>990</x:v>
      </x:c>
      <x:c r="K22" s="24" t="n">
        <x:v>2</x:v>
      </x:c>
      <x:c r="L22" s="32" t="n">
        <x:f>IF(C22&lt;='Inputs'!$B$33,'Case Inputs'!$J$4,'Case Inputs'!$K$4)</x:f>
        <x:v>500</x:v>
      </x:c>
      <x:c r="M22" s="34" t="n">
        <x:f>K22*L22</x:f>
        <x:v>1000</x:v>
      </x:c>
      <x:c r="N22" s="25" t="n">
        <x:f>IF(C22&gt;='Case Inputs'!$H$4,D22*'Case Inputs'!$I$4,0)</x:f>
        <x:v>150</x:v>
      </x:c>
      <x:c r="O22" s="32" t="n">
        <x:f>N22*'Inputs'!$B$20</x:f>
        <x:v>748.5</x:v>
      </x:c>
      <x:c r="P22" s="34" t="n">
        <x:f>SUM(I22:J22)+M22+O22</x:f>
        <x:v>4268.5</x:v>
      </x:c>
      <x:c r="Q22" s="32" t="n">
        <x:f>IF(F22&lt;='Inputs'!$B$7,0,IF(F22&lt;='Inputs'!$B$8,'Inputs'!$B$10,IF(F22&lt;='Inputs'!$B$9,'Inputs'!$B$11,'Inputs'!$B$12)))</x:f>
        <x:v>20</x:v>
      </x:c>
      <x:c r="R22" s="32" t="n">
        <x:f>'Inputs'!$B$6+Q22+D22*'Inputs'!$B$13</x:f>
        <x:v>100</x:v>
      </x:c>
      <x:c r="S22" s="32" t="n">
        <x:f>IF(C22&gt;='Inputs'!$B$32,'Case Inputs'!$L$4,0)</x:f>
        <x:v>250</x:v>
      </x:c>
      <x:c r="T22" s="32" t="n">
        <x:f>(M22+O22)*'Inputs'!$B$17+(K22*'Inputs'!$B$28+N22*'Inputs'!$B$29)*'Inputs'!$B$18+O22*'Inputs'!$B$19</x:f>
        <x:v>101.546</x:v>
      </x:c>
      <x:c r="U22" s="34" t="n">
        <x:f>SUM(R22:T22)</x:f>
        <x:v>451.546</x:v>
      </x:c>
      <x:c r="V22" s="34" t="n">
        <x:f>P22-U22</x:f>
        <x:v>3816.954</x:v>
      </x:c>
      <x:c r="W22" s="28" t="n">
        <x:f>IF(P22=0,"",V22/P22)</x:f>
        <x:v>0.8942143610167507</x:v>
      </x:c>
      <x:c r="X22" s="32" t="n">
        <x:f>'Inputs'!$B$21</x:f>
        <x:v>100</x:v>
      </x:c>
      <x:c r="Y22" s="32" t="n">
        <x:f>IF(OR(MONTH(B22)&gt;=9,MONTH(B22)&lt;=4),'Case Inputs'!$N$4,'Case Inputs'!$O$4)</x:f>
        <x:v>300</x:v>
      </x:c>
      <x:c r="Z22" s="32" t="n">
        <x:f>IF(C22&gt;='Inputs'!$B$32,'Case Inputs'!$P$4,0)</x:f>
        <x:v>1000</x:v>
      </x:c>
      <x:c r="AA22" s="32" t="n">
        <x:f>IF(C22=1,'Case Inputs'!$M$4*'Inputs'!$B$30,IF(C22=2,'Case Inputs'!$M$4*'Inputs'!$B$31,0))</x:f>
        <x:v>0</x:v>
      </x:c>
      <x:c r="AB22" s="34" t="n">
        <x:f>V22-SUM(X22:AA22)</x:f>
        <x:v>2416.954</x:v>
      </x:c>
      <x:c r="AC22" s="32" t="n">
        <x:f>IF(C22&gt;'Inputs'!$B$24,INDEX($I$2:$I$25,MAX(1,C22-'Inputs'!$B$24)),0)+IF(C22&gt;'Inputs'!$B$25,INDEX($J$2:$J$25,MAX(1,C22-'Inputs'!$B$25)),0)+M22+O22</x:f>
        <x:v>13313.5</x:v>
      </x:c>
      <x:c r="AD22" s="34" t="n">
        <x:f>U22+SUM(X22:AA22)</x:f>
        <x:v>1851.546</x:v>
      </x:c>
      <x:c r="AE22" s="34" t="n">
        <x:f>AC22-AD22</x:f>
        <x:v>11461.954</x:v>
      </x:c>
      <x:c r="AF22" s="34" t="n">
        <x:f>SUM($AE$2:AE22)</x:f>
        <x:v>93485.9041</x:v>
      </x:c>
      <x:c r="AG22" s="32" t="n">
        <x:f>'Inputs'!$B$22*'Inputs'!$B$23</x:f>
        <x:v>4000</x:v>
      </x:c>
      <x:c r="AH22" s="34" t="n">
        <x:f>AB22-AG22</x:f>
        <x:v>-1583.0459999999998</x:v>
      </x:c>
    </x:row>
    <x:row r="23" ht="32" customHeight="1">
      <x:c r="A23" s="4" t="str">
        <x:v>Breakout</x:v>
      </x:c>
      <x:c r="B23" s="22" t="n">
        <x:v>46905</x:v>
      </x:c>
      <x:c r="C23" s="4" t="n">
        <x:v>22</x:v>
      </x:c>
      <x:c r="D23" s="24" t="n">
        <x:v>35000</x:v>
      </x:c>
      <x:c r="E23" s="30" t="n">
        <x:f>D23*'Inputs'!$B$2*'Inputs'!$B$3</x:f>
        <x:v>192500.00000000003</x:v>
      </x:c>
      <x:c r="F23" s="30" t="n">
        <x:f>E23*'Inputs'!$B$4</x:f>
        <x:v>1540000.0000000002</x:v>
      </x:c>
      <x:c r="G23" s="30" t="n">
        <x:f>E23*'Inputs'!$B$5/'Inputs'!$B$26</x:f>
        <x:v>67.375</x:v>
      </x:c>
      <x:c r="H23" s="30" t="n">
        <x:f>IF(C23&gt;='Case Inputs'!$G$4,D23*'Case Inputs'!$B$4,0)</x:f>
        <x:v>1400</x:v>
      </x:c>
      <x:c r="I23" s="32" t="n">
        <x:f>H23*'Case Inputs'!$C$4*'Case Inputs'!$D$4*'Case Inputs'!$E$4</x:f>
        <x:v>892.5</x:v>
      </x:c>
      <x:c r="J23" s="32" t="n">
        <x:f>IF(AND(C23&gt;='Case Inputs'!$F$4,D23&gt;='Inputs'!$B$16),E23*'Inputs'!$B$14*'Inputs'!$B$15/'Inputs'!$B$27,0)</x:f>
        <x:v>577.5000000000001</x:v>
      </x:c>
      <x:c r="K23" s="24" t="n">
        <x:v>1</x:v>
      </x:c>
      <x:c r="L23" s="32" t="n">
        <x:f>IF(C23&lt;='Inputs'!$B$33,'Case Inputs'!$J$4,'Case Inputs'!$K$4)</x:f>
        <x:v>500</x:v>
      </x:c>
      <x:c r="M23" s="34" t="n">
        <x:f>K23*L23</x:f>
        <x:v>500</x:v>
      </x:c>
      <x:c r="N23" s="25" t="n">
        <x:f>IF(C23&gt;='Case Inputs'!$H$4,D23*'Case Inputs'!$I$4,0)</x:f>
        <x:v>87.5</x:v>
      </x:c>
      <x:c r="O23" s="32" t="n">
        <x:f>N23*'Inputs'!$B$20</x:f>
        <x:v>436.625</x:v>
      </x:c>
      <x:c r="P23" s="34" t="n">
        <x:f>SUM(I23:J23)+M23+O23</x:f>
        <x:v>2406.625</x:v>
      </x:c>
      <x:c r="Q23" s="32" t="n">
        <x:f>IF(F23&lt;='Inputs'!$B$7,0,IF(F23&lt;='Inputs'!$B$8,'Inputs'!$B$10,IF(F23&lt;='Inputs'!$B$9,'Inputs'!$B$11,'Inputs'!$B$12)))</x:f>
        <x:v>20</x:v>
      </x:c>
      <x:c r="R23" s="32" t="n">
        <x:f>'Inputs'!$B$6+Q23+D23*'Inputs'!$B$13</x:f>
        <x:v>75</x:v>
      </x:c>
      <x:c r="S23" s="32" t="n">
        <x:f>IF(C23&gt;='Inputs'!$B$32,'Case Inputs'!$L$4,0)</x:f>
        <x:v>250</x:v>
      </x:c>
      <x:c r="T23" s="32" t="n">
        <x:f>(M23+O23)*'Inputs'!$B$17+(K23*'Inputs'!$B$28+N23*'Inputs'!$B$29)*'Inputs'!$B$18+O23*'Inputs'!$B$19</x:f>
        <x:v>56.7685</x:v>
      </x:c>
      <x:c r="U23" s="34" t="n">
        <x:f>SUM(R23:T23)</x:f>
        <x:v>381.7685</x:v>
      </x:c>
      <x:c r="V23" s="34" t="n">
        <x:f>P23-U23</x:f>
        <x:v>2024.8564999999999</x:v>
      </x:c>
      <x:c r="W23" s="28" t="n">
        <x:f>IF(P23=0,"",V23/P23)</x:f>
        <x:v>0.8413676829585</x:v>
      </x:c>
      <x:c r="X23" s="32" t="n">
        <x:f>'Inputs'!$B$21</x:f>
        <x:v>100</x:v>
      </x:c>
      <x:c r="Y23" s="32" t="n">
        <x:f>IF(OR(MONTH(B23)&gt;=9,MONTH(B23)&lt;=4),'Case Inputs'!$N$4,'Case Inputs'!$O$4)</x:f>
        <x:v>300</x:v>
      </x:c>
      <x:c r="Z23" s="32" t="n">
        <x:f>IF(C23&gt;='Inputs'!$B$32,'Case Inputs'!$P$4,0)</x:f>
        <x:v>1000</x:v>
      </x:c>
      <x:c r="AA23" s="32" t="n">
        <x:f>IF(C23=1,'Case Inputs'!$M$4*'Inputs'!$B$30,IF(C23=2,'Case Inputs'!$M$4*'Inputs'!$B$31,0))</x:f>
        <x:v>0</x:v>
      </x:c>
      <x:c r="AB23" s="34" t="n">
        <x:f>V23-SUM(X23:AA23)</x:f>
        <x:v>624.8564999999999</x:v>
      </x:c>
      <x:c r="AC23" s="32" t="n">
        <x:f>IF(C23&gt;'Inputs'!$B$24,INDEX($I$2:$I$25,MAX(1,C23-'Inputs'!$B$24)),0)+IF(C23&gt;'Inputs'!$B$25,INDEX($J$2:$J$25,MAX(1,C23-'Inputs'!$B$25)),0)+M23+O23</x:f>
        <x:v>6006.625</x:v>
      </x:c>
      <x:c r="AD23" s="34" t="n">
        <x:f>U23+SUM(X23:AA23)</x:f>
        <x:v>1781.7685000000001</x:v>
      </x:c>
      <x:c r="AE23" s="34" t="n">
        <x:f>AC23-AD23</x:f>
        <x:v>4224.8565</x:v>
      </x:c>
      <x:c r="AF23" s="34" t="n">
        <x:f>SUM($AE$2:AE23)</x:f>
        <x:v>97710.7606</x:v>
      </x:c>
      <x:c r="AG23" s="32" t="n">
        <x:f>'Inputs'!$B$22*'Inputs'!$B$23</x:f>
        <x:v>4000</x:v>
      </x:c>
      <x:c r="AH23" s="34" t="n">
        <x:f>AB23-AG23</x:f>
        <x:v>-3375.1435</x:v>
      </x:c>
    </x:row>
    <x:row r="24" ht="32" customHeight="1">
      <x:c r="A24" s="4" t="str">
        <x:v>Breakout</x:v>
      </x:c>
      <x:c r="B24" s="22" t="n">
        <x:v>46935</x:v>
      </x:c>
      <x:c r="C24" s="4" t="n">
        <x:v>23</x:v>
      </x:c>
      <x:c r="D24" s="24" t="n">
        <x:v>25000</x:v>
      </x:c>
      <x:c r="E24" s="30" t="n">
        <x:f>D24*'Inputs'!$B$2*'Inputs'!$B$3</x:f>
        <x:v>137500</x:v>
      </x:c>
      <x:c r="F24" s="30" t="n">
        <x:f>E24*'Inputs'!$B$4</x:f>
        <x:v>1100000</x:v>
      </x:c>
      <x:c r="G24" s="30" t="n">
        <x:f>E24*'Inputs'!$B$5/'Inputs'!$B$26</x:f>
        <x:v>48.125</x:v>
      </x:c>
      <x:c r="H24" s="30" t="n">
        <x:f>IF(C24&gt;='Case Inputs'!$G$4,D24*'Case Inputs'!$B$4,0)</x:f>
        <x:v>1000</x:v>
      </x:c>
      <x:c r="I24" s="32" t="n">
        <x:f>H24*'Case Inputs'!$C$4*'Case Inputs'!$D$4*'Case Inputs'!$E$4</x:f>
        <x:v>637.5</x:v>
      </x:c>
      <x:c r="J24" s="32" t="n">
        <x:f>IF(AND(C24&gt;='Case Inputs'!$F$4,D24&gt;='Inputs'!$B$16),E24*'Inputs'!$B$14*'Inputs'!$B$15/'Inputs'!$B$27,0)</x:f>
        <x:v>412.5</x:v>
      </x:c>
      <x:c r="K24" s="24" t="n">
        <x:v>1</x:v>
      </x:c>
      <x:c r="L24" s="32" t="n">
        <x:f>IF(C24&lt;='Inputs'!$B$33,'Case Inputs'!$J$4,'Case Inputs'!$K$4)</x:f>
        <x:v>500</x:v>
      </x:c>
      <x:c r="M24" s="34" t="n">
        <x:f>K24*L24</x:f>
        <x:v>500</x:v>
      </x:c>
      <x:c r="N24" s="25" t="n">
        <x:f>IF(C24&gt;='Case Inputs'!$H$4,D24*'Case Inputs'!$I$4,0)</x:f>
        <x:v>62.5</x:v>
      </x:c>
      <x:c r="O24" s="32" t="n">
        <x:f>N24*'Inputs'!$B$20</x:f>
        <x:v>311.875</x:v>
      </x:c>
      <x:c r="P24" s="34" t="n">
        <x:f>SUM(I24:J24)+M24+O24</x:f>
        <x:v>1861.875</x:v>
      </x:c>
      <x:c r="Q24" s="32" t="n">
        <x:f>IF(F24&lt;='Inputs'!$B$7,0,IF(F24&lt;='Inputs'!$B$8,'Inputs'!$B$10,IF(F24&lt;='Inputs'!$B$9,'Inputs'!$B$11,'Inputs'!$B$12)))</x:f>
        <x:v>20</x:v>
      </x:c>
      <x:c r="R24" s="32" t="n">
        <x:f>'Inputs'!$B$6+Q24+D24*'Inputs'!$B$13</x:f>
        <x:v>65</x:v>
      </x:c>
      <x:c r="S24" s="32" t="n">
        <x:f>IF(C24&gt;='Inputs'!$B$32,'Case Inputs'!$L$4,0)</x:f>
        <x:v>250</x:v>
      </x:c>
      <x:c r="T24" s="32" t="n">
        <x:f>(M24+O24)*'Inputs'!$B$17+(K24*'Inputs'!$B$28+N24*'Inputs'!$B$29)*'Inputs'!$B$18+O24*'Inputs'!$B$19</x:f>
        <x:v>44.777499999999996</x:v>
      </x:c>
      <x:c r="U24" s="34" t="n">
        <x:f>SUM(R24:T24)</x:f>
        <x:v>359.7775</x:v>
      </x:c>
      <x:c r="V24" s="34" t="n">
        <x:f>P24-U24</x:f>
        <x:v>1502.0975</x:v>
      </x:c>
      <x:c r="W24" s="28" t="n">
        <x:f>IF(P24=0,"",V24/P24)</x:f>
        <x:v>0.8067660288687479</x:v>
      </x:c>
      <x:c r="X24" s="32" t="n">
        <x:f>'Inputs'!$B$21</x:f>
        <x:v>100</x:v>
      </x:c>
      <x:c r="Y24" s="32" t="n">
        <x:f>IF(OR(MONTH(B24)&gt;=9,MONTH(B24)&lt;=4),'Case Inputs'!$N$4,'Case Inputs'!$O$4)</x:f>
        <x:v>300</x:v>
      </x:c>
      <x:c r="Z24" s="32" t="n">
        <x:f>IF(C24&gt;='Inputs'!$B$32,'Case Inputs'!$P$4,0)</x:f>
        <x:v>1000</x:v>
      </x:c>
      <x:c r="AA24" s="32" t="n">
        <x:f>IF(C24=1,'Case Inputs'!$M$4*'Inputs'!$B$30,IF(C24=2,'Case Inputs'!$M$4*'Inputs'!$B$31,0))</x:f>
        <x:v>0</x:v>
      </x:c>
      <x:c r="AB24" s="34" t="n">
        <x:f>V24-SUM(X24:AA24)</x:f>
        <x:v>102.09750000000008</x:v>
      </x:c>
      <x:c r="AC24" s="32" t="n">
        <x:f>IF(C24&gt;'Inputs'!$B$24,INDEX($I$2:$I$25,MAX(1,C24-'Inputs'!$B$24)),0)+IF(C24&gt;'Inputs'!$B$25,INDEX($J$2:$J$25,MAX(1,C24-'Inputs'!$B$25)),0)+M24+O24</x:f>
        <x:v>2919.375</x:v>
      </x:c>
      <x:c r="AD24" s="34" t="n">
        <x:f>U24+SUM(X24:AA24)</x:f>
        <x:v>1759.7775</x:v>
      </x:c>
      <x:c r="AE24" s="34" t="n">
        <x:f>AC24-AD24</x:f>
        <x:v>1159.5975</x:v>
      </x:c>
      <x:c r="AF24" s="34" t="n">
        <x:f>SUM($AE$2:AE24)</x:f>
        <x:v>98870.3581</x:v>
      </x:c>
      <x:c r="AG24" s="32" t="n">
        <x:f>'Inputs'!$B$22*'Inputs'!$B$23</x:f>
        <x:v>4000</x:v>
      </x:c>
      <x:c r="AH24" s="34" t="n">
        <x:f>AB24-AG24</x:f>
        <x:v>-3897.9025</x:v>
      </x:c>
    </x:row>
    <x:row r="25" ht="32" customHeight="1">
      <x:c r="A25" s="4" t="str">
        <x:v>Breakout</x:v>
      </x:c>
      <x:c r="B25" s="22" t="n">
        <x:v>46966</x:v>
      </x:c>
      <x:c r="C25" s="4" t="n">
        <x:v>24</x:v>
      </x:c>
      <x:c r="D25" s="24" t="n">
        <x:v>40000</x:v>
      </x:c>
      <x:c r="E25" s="30" t="n">
        <x:f>D25*'Inputs'!$B$2*'Inputs'!$B$3</x:f>
        <x:v>220000.00000000003</x:v>
      </x:c>
      <x:c r="F25" s="30" t="n">
        <x:f>E25*'Inputs'!$B$4</x:f>
        <x:v>1760000.0000000002</x:v>
      </x:c>
      <x:c r="G25" s="30" t="n">
        <x:f>E25*'Inputs'!$B$5/'Inputs'!$B$26</x:f>
        <x:v>77</x:v>
      </x:c>
      <x:c r="H25" s="30" t="n">
        <x:f>IF(C25&gt;='Case Inputs'!$G$4,D25*'Case Inputs'!$B$4,0)</x:f>
        <x:v>1600</x:v>
      </x:c>
      <x:c r="I25" s="32" t="n">
        <x:f>H25*'Case Inputs'!$C$4*'Case Inputs'!$D$4*'Case Inputs'!$E$4</x:f>
        <x:v>1020</x:v>
      </x:c>
      <x:c r="J25" s="32" t="n">
        <x:f>IF(AND(C25&gt;='Case Inputs'!$F$4,D25&gt;='Inputs'!$B$16),E25*'Inputs'!$B$14*'Inputs'!$B$15/'Inputs'!$B$27,0)</x:f>
        <x:v>660</x:v>
      </x:c>
      <x:c r="K25" s="24" t="n">
        <x:v>2</x:v>
      </x:c>
      <x:c r="L25" s="32" t="n">
        <x:f>IF(C25&lt;='Inputs'!$B$33,'Case Inputs'!$J$4,'Case Inputs'!$K$4)</x:f>
        <x:v>500</x:v>
      </x:c>
      <x:c r="M25" s="34" t="n">
        <x:f>K25*L25</x:f>
        <x:v>1000</x:v>
      </x:c>
      <x:c r="N25" s="25" t="n">
        <x:f>IF(C25&gt;='Case Inputs'!$H$4,D25*'Case Inputs'!$I$4,0)</x:f>
        <x:v>100</x:v>
      </x:c>
      <x:c r="O25" s="32" t="n">
        <x:f>N25*'Inputs'!$B$20</x:f>
        <x:v>499</x:v>
      </x:c>
      <x:c r="P25" s="34" t="n">
        <x:f>SUM(I25:J25)+M25+O25</x:f>
        <x:v>3179</x:v>
      </x:c>
      <x:c r="Q25" s="32" t="n">
        <x:f>IF(F25&lt;='Inputs'!$B$7,0,IF(F25&lt;='Inputs'!$B$8,'Inputs'!$B$10,IF(F25&lt;='Inputs'!$B$9,'Inputs'!$B$11,'Inputs'!$B$12)))</x:f>
        <x:v>20</x:v>
      </x:c>
      <x:c r="R25" s="32" t="n">
        <x:f>'Inputs'!$B$6+Q25+D25*'Inputs'!$B$13</x:f>
        <x:v>80</x:v>
      </x:c>
      <x:c r="S25" s="32" t="n">
        <x:f>IF(C25&gt;='Inputs'!$B$32,'Case Inputs'!$L$4,0)</x:f>
        <x:v>250</x:v>
      </x:c>
      <x:c r="T25" s="32" t="n">
        <x:f>(M25+O25)*'Inputs'!$B$17+(K25*'Inputs'!$B$28+N25*'Inputs'!$B$29)*'Inputs'!$B$18+O25*'Inputs'!$B$19</x:f>
        <x:v>77.564</x:v>
      </x:c>
      <x:c r="U25" s="34" t="n">
        <x:f>SUM(R25:T25)</x:f>
        <x:v>407.56399999999996</x:v>
      </x:c>
      <x:c r="V25" s="34" t="n">
        <x:f>P25-U25</x:f>
        <x:v>2771.436</x:v>
      </x:c>
      <x:c r="W25" s="28" t="n">
        <x:f>IF(P25=0,"",V25/P25)</x:f>
        <x:v>0.8717949040578798</x:v>
      </x:c>
      <x:c r="X25" s="32" t="n">
        <x:f>'Inputs'!$B$21</x:f>
        <x:v>100</x:v>
      </x:c>
      <x:c r="Y25" s="32" t="n">
        <x:f>IF(OR(MONTH(B25)&gt;=9,MONTH(B25)&lt;=4),'Case Inputs'!$N$4,'Case Inputs'!$O$4)</x:f>
        <x:v>300</x:v>
      </x:c>
      <x:c r="Z25" s="32" t="n">
        <x:f>IF(C25&gt;='Inputs'!$B$32,'Case Inputs'!$P$4,0)</x:f>
        <x:v>1000</x:v>
      </x:c>
      <x:c r="AA25" s="32" t="n">
        <x:f>IF(C25=1,'Case Inputs'!$M$4*'Inputs'!$B$30,IF(C25=2,'Case Inputs'!$M$4*'Inputs'!$B$31,0))</x:f>
        <x:v>0</x:v>
      </x:c>
      <x:c r="AB25" s="34" t="n">
        <x:f>V25-SUM(X25:AA25)</x:f>
        <x:v>1371.4360000000001</x:v>
      </x:c>
      <x:c r="AC25" s="32" t="n">
        <x:f>IF(C25&gt;'Inputs'!$B$24,INDEX($I$2:$I$25,MAX(1,C25-'Inputs'!$B$24)),0)+IF(C25&gt;'Inputs'!$B$25,INDEX($J$2:$J$25,MAX(1,C25-'Inputs'!$B$25)),0)+M25+O25</x:f>
        <x:v>2804</x:v>
      </x:c>
      <x:c r="AD25" s="34" t="n">
        <x:f>U25+SUM(X25:AA25)</x:f>
        <x:v>1807.5639999999999</x:v>
      </x:c>
      <x:c r="AE25" s="34" t="n">
        <x:f>AC25-AD25</x:f>
        <x:v>996.4360000000001</x:v>
      </x:c>
      <x:c r="AF25" s="34" t="n">
        <x:f>SUM($AE$2:AE25)</x:f>
        <x:v>99866.7941</x:v>
      </x:c>
      <x:c r="AG25" s="32" t="n">
        <x:f>'Inputs'!$B$22*'Inputs'!$B$23</x:f>
        <x:v>4000</x:v>
      </x:c>
      <x:c r="AH25" s="34" t="n">
        <x:f>AB25-AG25</x:f>
        <x:v>-2628.564</x:v>
      </x:c>
    </x:row>
  </x:sheetData>
  <x:conditionalFormatting sqref="AF2:AF25">
    <x:cfRule type="cellIs" dxfId="2" priority="1" operator="lessThan">
      <x:formula>0</x:formula>
    </x:cfRule>
  </x:conditionalFormatting>
  <x:pageMargins left="0.7" right="0.7" top="0.75" bottom="0.75" header="0.3" footer="0.3"/>
  <x:legacyDrawing xmlns:r="http://schemas.openxmlformats.org/officeDocument/2006/relationships" r:id="Rab74e3af20d44e25"/>
  <x:tableParts count="1">
    <x:tablePart xmlns:r="http://schemas.openxmlformats.org/officeDocument/2006/relationships" r:id="Ra5cd60ff00d743b6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</x:cols>
  <x:sheetData>
    <x:row r="1" ht="42" customHeight="1">
      <x:c r="A1" s="9" t="str">
        <x:v>Monthly users</x:v>
      </x:c>
      <x:c r="B1" s="9" t="str">
        <x:v>Pageviews</x:v>
      </x:c>
      <x:c r="C1" s="9" t="str">
        <x:v>CDN requests</x:v>
      </x:c>
      <x:c r="D1" s="9" t="str">
        <x:v>Own-origin GB</x:v>
      </x:c>
      <x:c r="E1" s="9" t="str">
        <x:v>Tech model ($)</x:v>
      </x:c>
      <x:c r="F1" s="9" t="str">
        <x:v>Tech low ($)</x:v>
      </x:c>
      <x:c r="G1" s="9" t="str">
        <x:v>Tech high ($)</x:v>
      </x:c>
      <x:c r="H1" s="9" t="str">
        <x:v>All-in low ($)</x:v>
      </x:c>
      <x:c r="I1" s="9" t="str">
        <x:v>All-in high ($)</x:v>
      </x:c>
      <x:c r="J1" s="9" t="str">
        <x:v>Affiliate ($)</x:v>
      </x:c>
      <x:c r="K1" s="9" t="str">
        <x:v>Ads ($)</x:v>
      </x:c>
      <x:c r="L1" s="9" t="str">
        <x:v>Sponsor count</x:v>
      </x:c>
      <x:c r="M1" s="9" t="str">
        <x:v>Sponsor price ($)</x:v>
      </x:c>
      <x:c r="N1" s="9" t="str">
        <x:v>Revenue ($)</x:v>
      </x:c>
      <x:c r="O1" s="9" t="str">
        <x:v>Direct cost ($)</x:v>
      </x:c>
      <x:c r="P1" s="9" t="str">
        <x:v>Gross margin</x:v>
      </x:c>
    </x:row>
    <x:row r="2" ht="32" customHeight="1">
      <x:c r="A2" s="18" t="n">
        <x:v>1000</x:v>
      </x:c>
      <x:c r="B2" s="4" t="n">
        <x:f>A2*'Inputs'!$B$2*'Inputs'!$B$3</x:f>
        <x:v>5500</x:v>
      </x:c>
      <x:c r="C2" s="4" t="n">
        <x:f>B2*'Inputs'!$B$4</x:f>
        <x:v>44000</x:v>
      </x:c>
      <x:c r="D2" s="4" t="n">
        <x:f>B2*'Inputs'!$B$5/'Inputs'!$B$26</x:f>
        <x:v>1.9249999999999998</x:v>
      </x:c>
      <x:c r="E2" s="34" t="n">
        <x:f>'Inputs'!$B$6+A2*'Inputs'!$B$13+IF(C2&lt;='Inputs'!$B$7,0,IF(C2&lt;='Inputs'!$B$8,'Inputs'!$B$10,'Inputs'!$B$11))</x:f>
        <x:v>21</x:v>
      </x:c>
      <x:c r="F2" s="34" t="n">
        <x:f>MAX('Inputs'!$B$6,E2*'Inputs'!$B$34)</x:f>
        <x:v>20</x:v>
      </x:c>
      <x:c r="G2" s="34" t="n">
        <x:f>E2*'Inputs'!$B$35+'Inputs'!$B$36</x:f>
        <x:v>142</x:v>
      </x:c>
      <x:c r="H2" s="34" t="n">
        <x:f>E2+'Inputs'!$B$21</x:f>
        <x:v>121</x:v>
      </x:c>
      <x:c r="I2" s="34" t="n">
        <x:f>E2*'Inputs'!$B$35+'Inputs'!$B$37</x:f>
        <x:v>1542</x:v>
      </x:c>
      <x:c r="J2" s="34" t="n">
        <x:f>A2*'Case Inputs'!$B$3*'Case Inputs'!$C$3*'Case Inputs'!$D$3*'Case Inputs'!$E$3</x:f>
        <x:v>10</x:v>
      </x:c>
      <x:c r="K2" s="34" t="n">
        <x:f>IF(A2&gt;='Inputs'!$B$16,B2*'Inputs'!$B$14*'Inputs'!$B$15/'Inputs'!$B$27,0)</x:f>
        <x:v>0</x:v>
      </x:c>
      <x:c r="L2" s="18" t="n">
        <x:v>0</x:v>
      </x:c>
      <x:c r="M2" s="36" t="n">
        <x:v>150</x:v>
      </x:c>
      <x:c r="N2" s="34" t="n">
        <x:f>SUM(J2:K2)+L2*M2</x:f>
        <x:v>10</x:v>
      </x:c>
      <x:c r="O2" s="34" t="n">
        <x:f>E2+'Case Inputs'!$L$3+L2*M2*'Inputs'!$B$17+L2*'Inputs'!$B$18</x:f>
        <x:v>71</x:v>
      </x:c>
      <x:c r="P2" s="28" t="n">
        <x:f>IF(N2=0,"",(N2-O2)/N2)</x:f>
        <x:v>-6.1</x:v>
      </x:c>
    </x:row>
    <x:row r="3" ht="32" customHeight="1">
      <x:c r="A3" s="18" t="n">
        <x:v>10000</x:v>
      </x:c>
      <x:c r="B3" s="4" t="n">
        <x:f>A3*'Inputs'!$B$2*'Inputs'!$B$3</x:f>
        <x:v>55000.00000000001</x:v>
      </x:c>
      <x:c r="C3" s="4" t="n">
        <x:f>B3*'Inputs'!$B$4</x:f>
        <x:v>440000.00000000006</x:v>
      </x:c>
      <x:c r="D3" s="4" t="n">
        <x:f>B3*'Inputs'!$B$5/'Inputs'!$B$26</x:f>
        <x:v>19.25</x:v>
      </x:c>
      <x:c r="E3" s="34" t="n">
        <x:f>'Inputs'!$B$6+A3*'Inputs'!$B$13+IF(C3&lt;='Inputs'!$B$7,0,IF(C3&lt;='Inputs'!$B$8,'Inputs'!$B$10,'Inputs'!$B$11))</x:f>
        <x:v>30</x:v>
      </x:c>
      <x:c r="F3" s="34" t="n">
        <x:f>MAX('Inputs'!$B$6,E3*'Inputs'!$B$34)</x:f>
        <x:v>21</x:v>
      </x:c>
      <x:c r="G3" s="34" t="n">
        <x:f>E3*'Inputs'!$B$35+'Inputs'!$B$36</x:f>
        <x:v>160</x:v>
      </x:c>
      <x:c r="H3" s="34" t="n">
        <x:f>E3+'Inputs'!$B$21</x:f>
        <x:v>130</x:v>
      </x:c>
      <x:c r="I3" s="34" t="n">
        <x:f>E3*'Inputs'!$B$35+'Inputs'!$B$37</x:f>
        <x:v>1560</x:v>
      </x:c>
      <x:c r="J3" s="34" t="n">
        <x:f>A3*'Case Inputs'!$B$3*'Case Inputs'!$C$3*'Case Inputs'!$D$3*'Case Inputs'!$E$3</x:f>
        <x:v>100</x:v>
      </x:c>
      <x:c r="K3" s="34" t="n">
        <x:f>IF(A3&gt;='Inputs'!$B$16,B3*'Inputs'!$B$14*'Inputs'!$B$15/'Inputs'!$B$27,0)</x:f>
        <x:v>165</x:v>
      </x:c>
      <x:c r="L3" s="18" t="n">
        <x:v>1</x:v>
      </x:c>
      <x:c r="M3" s="36" t="n">
        <x:v>150</x:v>
      </x:c>
      <x:c r="N3" s="34" t="n">
        <x:f>SUM(J3:K3)+L3*M3</x:f>
        <x:v>415</x:v>
      </x:c>
      <x:c r="O3" s="34" t="n">
        <x:f>E3+'Case Inputs'!$L$3+L3*M3*'Inputs'!$B$17+L3*'Inputs'!$B$18</x:f>
        <x:v>84.64999999999999</x:v>
      </x:c>
      <x:c r="P3" s="28" t="n">
        <x:f>IF(N3=0,"",(N3-O3)/N3)</x:f>
        <x:v>0.7960240963855422</x:v>
      </x:c>
    </x:row>
    <x:row r="4" ht="32" customHeight="1">
      <x:c r="A4" s="18" t="n">
        <x:v>50000</x:v>
      </x:c>
      <x:c r="B4" s="4" t="n">
        <x:f>A4*'Inputs'!$B$2*'Inputs'!$B$3</x:f>
        <x:v>275000</x:v>
      </x:c>
      <x:c r="C4" s="4" t="n">
        <x:f>B4*'Inputs'!$B$4</x:f>
        <x:v>2200000</x:v>
      </x:c>
      <x:c r="D4" s="4" t="n">
        <x:f>B4*'Inputs'!$B$5/'Inputs'!$B$26</x:f>
        <x:v>96.25</x:v>
      </x:c>
      <x:c r="E4" s="34" t="n">
        <x:f>'Inputs'!$B$6+A4*'Inputs'!$B$13+IF(C4&lt;='Inputs'!$B$7,0,IF(C4&lt;='Inputs'!$B$8,'Inputs'!$B$10,'Inputs'!$B$11))</x:f>
        <x:v>90</x:v>
      </x:c>
      <x:c r="F4" s="34" t="n">
        <x:f>MAX('Inputs'!$B$6,E4*'Inputs'!$B$34)</x:f>
        <x:v>62.99999999999999</x:v>
      </x:c>
      <x:c r="G4" s="34" t="n">
        <x:f>E4*'Inputs'!$B$35+'Inputs'!$B$36</x:f>
        <x:v>280</x:v>
      </x:c>
      <x:c r="H4" s="34" t="n">
        <x:f>E4+'Inputs'!$B$21</x:f>
        <x:v>190</x:v>
      </x:c>
      <x:c r="I4" s="34" t="n">
        <x:f>E4*'Inputs'!$B$35+'Inputs'!$B$37</x:f>
        <x:v>1680</x:v>
      </x:c>
      <x:c r="J4" s="34" t="n">
        <x:f>A4*'Case Inputs'!$B$3*'Case Inputs'!$C$3*'Case Inputs'!$D$3*'Case Inputs'!$E$3</x:f>
        <x:v>500</x:v>
      </x:c>
      <x:c r="K4" s="34" t="n">
        <x:f>IF(A4&gt;='Inputs'!$B$16,B4*'Inputs'!$B$14*'Inputs'!$B$15/'Inputs'!$B$27,0)</x:f>
        <x:v>825</x:v>
      </x:c>
      <x:c r="L4" s="18" t="n">
        <x:v>3</x:v>
      </x:c>
      <x:c r="M4" s="36" t="n">
        <x:v>150</x:v>
      </x:c>
      <x:c r="N4" s="34" t="n">
        <x:f>SUM(J4:K4)+L4*M4</x:f>
        <x:v>1775</x:v>
      </x:c>
      <x:c r="O4" s="34" t="n">
        <x:f>E4+'Case Inputs'!$L$3+L4*M4*'Inputs'!$B$17+L4*'Inputs'!$B$18</x:f>
        <x:v>153.95000000000002</x:v>
      </x:c>
      <x:c r="P4" s="28" t="n">
        <x:f>IF(N4=0,"",(N4-O4)/N4)</x:f>
        <x:v>0.9132676056338028</x:v>
      </x:c>
    </x:row>
    <x:row r="5" ht="32" customHeight="1">
      <x:c r="A5" s="18" t="n">
        <x:v>100000</x:v>
      </x:c>
      <x:c r="B5" s="4" t="n">
        <x:f>A5*'Inputs'!$B$2*'Inputs'!$B$3</x:f>
        <x:v>550000</x:v>
      </x:c>
      <x:c r="C5" s="4" t="n">
        <x:f>B5*'Inputs'!$B$4</x:f>
        <x:v>4400000</x:v>
      </x:c>
      <x:c r="D5" s="4" t="n">
        <x:f>B5*'Inputs'!$B$5/'Inputs'!$B$26</x:f>
        <x:v>192.5</x:v>
      </x:c>
      <x:c r="E5" s="34" t="n">
        <x:f>'Inputs'!$B$6+A5*'Inputs'!$B$13+IF(C5&lt;='Inputs'!$B$7,0,IF(C5&lt;='Inputs'!$B$8,'Inputs'!$B$10,'Inputs'!$B$11))</x:f>
        <x:v>140</x:v>
      </x:c>
      <x:c r="F5" s="34" t="n">
        <x:f>MAX('Inputs'!$B$6,E5*'Inputs'!$B$34)</x:f>
        <x:v>98</x:v>
      </x:c>
      <x:c r="G5" s="34" t="n">
        <x:f>E5*'Inputs'!$B$35+'Inputs'!$B$36</x:f>
        <x:v>380</x:v>
      </x:c>
      <x:c r="H5" s="34" t="n">
        <x:f>E5+'Inputs'!$B$21</x:f>
        <x:v>240</x:v>
      </x:c>
      <x:c r="I5" s="34" t="n">
        <x:f>E5*'Inputs'!$B$35+'Inputs'!$B$37</x:f>
        <x:v>1780</x:v>
      </x:c>
      <x:c r="J5" s="34" t="n">
        <x:f>A5*'Case Inputs'!$B$3*'Case Inputs'!$C$3*'Case Inputs'!$D$3*'Case Inputs'!$E$3</x:f>
        <x:v>1000</x:v>
      </x:c>
      <x:c r="K5" s="34" t="n">
        <x:f>IF(A5&gt;='Inputs'!$B$16,B5*'Inputs'!$B$14*'Inputs'!$B$15/'Inputs'!$B$27,0)</x:f>
        <x:v>1650</x:v>
      </x:c>
      <x:c r="L5" s="18" t="n">
        <x:v>5</x:v>
      </x:c>
      <x:c r="M5" s="36" t="n">
        <x:v>250</x:v>
      </x:c>
      <x:c r="N5" s="34" t="n">
        <x:f>SUM(J5:K5)+L5*M5</x:f>
        <x:v>3900</x:v>
      </x:c>
      <x:c r="O5" s="34" t="n">
        <x:f>E5+'Case Inputs'!$L$3+L5*M5*'Inputs'!$B$17+L5*'Inputs'!$B$18</x:f>
        <x:v>227.75</x:v>
      </x:c>
      <x:c r="P5" s="28" t="n">
        <x:f>IF(N5=0,"",(N5-O5)/N5)</x:f>
        <x:v>0.9416025641025642</x:v>
      </x:c>
    </x:row>
    <x:row r="6" ht="32" customHeight="1">
      <x:c r="A6" s="18" t="n">
        <x:v>500000</x:v>
      </x:c>
      <x:c r="B6" s="4" t="n">
        <x:f>A6*'Inputs'!$B$2*'Inputs'!$B$3</x:f>
        <x:v>2750000</x:v>
      </x:c>
      <x:c r="C6" s="4" t="n">
        <x:f>B6*'Inputs'!$B$4</x:f>
        <x:v>22000000</x:v>
      </x:c>
      <x:c r="D6" s="4" t="n">
        <x:f>B6*'Inputs'!$B$5/'Inputs'!$B$26</x:f>
        <x:v>962.4999999999999</x:v>
      </x:c>
      <x:c r="E6" s="34" t="n">
        <x:f>'Inputs'!$B$6+A6*'Inputs'!$B$13+IF(C6&lt;='Inputs'!$B$7,0,IF(C6&lt;='Inputs'!$B$8,'Inputs'!$B$10,'Inputs'!$B$11))</x:f>
        <x:v>620</x:v>
      </x:c>
      <x:c r="F6" s="34" t="n">
        <x:f>MAX('Inputs'!$B$6,E6*'Inputs'!$B$34)</x:f>
        <x:v>434</x:v>
      </x:c>
      <x:c r="G6" s="34" t="n">
        <x:f>E6*'Inputs'!$B$35+'Inputs'!$B$36</x:f>
        <x:v>1340</x:v>
      </x:c>
      <x:c r="H6" s="34" t="n">
        <x:f>E6+'Inputs'!$B$21</x:f>
        <x:v>720</x:v>
      </x:c>
      <x:c r="I6" s="34" t="n">
        <x:f>E6*'Inputs'!$B$35+'Inputs'!$B$37</x:f>
        <x:v>2740</x:v>
      </x:c>
      <x:c r="J6" s="34" t="n">
        <x:f>A6*'Case Inputs'!$B$3*'Case Inputs'!$C$3*'Case Inputs'!$D$3*'Case Inputs'!$E$3</x:f>
        <x:v>5000</x:v>
      </x:c>
      <x:c r="K6" s="34" t="n">
        <x:f>IF(A6&gt;='Inputs'!$B$16,B6*'Inputs'!$B$14*'Inputs'!$B$15/'Inputs'!$B$27,0)</x:f>
        <x:v>8250</x:v>
      </x:c>
      <x:c r="L6" s="18" t="n">
        <x:v>12</x:v>
      </x:c>
      <x:c r="M6" s="36" t="n">
        <x:v>250</x:v>
      </x:c>
      <x:c r="N6" s="34" t="n">
        <x:f>SUM(J6:K6)+L6*M6</x:f>
        <x:v>16250</x:v>
      </x:c>
      <x:c r="O6" s="34" t="n">
        <x:f>E6+'Case Inputs'!$L$3+L6*M6*'Inputs'!$B$17+L6*'Inputs'!$B$18</x:f>
        <x:v>760.6</x:v>
      </x:c>
      <x:c r="P6" s="28" t="n">
        <x:f>IF(N6=0,"",(N6-O6)/N6)</x:f>
        <x:v>0.9531938461538462</x:v>
      </x:c>
    </x:row>
    <x:row r="9" ht="40" customHeight="1">
      <x:c r="A9" s="39" t="str">
        <x:v>Illustrative stage monetization assumes affiliate approval, ad eligibility and paying sponsors; zero revenue remains possible. Ranges exclude founder pay, taxes and major one-time costs.</x:v>
      </x:c>
      <x:c r="B9" s="39"/>
      <x:c r="C9" s="39"/>
      <x:c r="D9" s="39"/>
      <x:c r="E9" s="39"/>
      <x:c r="F9" s="39"/>
      <x:c r="G9" s="39"/>
      <x:c r="H9" s="39"/>
      <x:c r="I9" s="39"/>
      <x:c r="J9" s="39"/>
      <x:c r="K9" s="39"/>
      <x:c r="L9" s="39"/>
      <x:c r="M9" s="39"/>
      <x:c r="N9" s="39"/>
      <x:c r="O9" s="39"/>
      <x:c r="P9" s="39"/>
    </x:row>
  </x:sheetData>
  <x:mergeCells>
    <x:mergeCell ref="A9:P9"/>
  </x:mergeCells>
  <x:pageMargins left="0.7" right="0.7" top="0.75" bottom="0.75" header="0.3" footer="0.3"/>
  <x:tableParts count="1">
    <x:tablePart xmlns:r="http://schemas.openxmlformats.org/officeDocument/2006/relationships" r:id="R350a5a009a484bac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23" hidden="0" customWidth="1"/>
    <x:col min="3" max="3" width="48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3" hidden="0" customWidth="1"/>
    <x:col min="12" max="12" width="23" hidden="0" customWidth="1"/>
    <x:col min="13" max="13" width="23" hidden="0" customWidth="1"/>
    <x:col min="14" max="14" width="23" hidden="0" customWidth="1"/>
    <x:col min="15" max="15" width="23" hidden="0" customWidth="1"/>
    <x:col min="16" max="16" width="23" hidden="0" customWidth="1"/>
  </x:cols>
  <x:sheetData>
    <x:row r="1" ht="42" customHeight="1">
      <x:c r="A1" s="9" t="str">
        <x:v>ID</x:v>
      </x:c>
      <x:c r="B1" s="9" t="str">
        <x:v>Phase</x:v>
      </x:c>
      <x:c r="C1" s="9" t="str">
        <x:v>Action</x:v>
      </x:c>
      <x:c r="D1" s="9" t="str">
        <x:v>Priority</x:v>
      </x:c>
      <x:c r="E1" s="9" t="str">
        <x:v>Deadline</x:v>
      </x:c>
      <x:c r="F1" s="9" t="str">
        <x:v>Owner</x:v>
      </x:c>
      <x:c r="G1" s="9" t="str">
        <x:v>Hours</x:v>
      </x:c>
      <x:c r="H1" s="9" t="str">
        <x:v>Cost_USD</x:v>
      </x:c>
      <x:c r="I1" s="9" t="str">
        <x:v>Dependency</x:v>
      </x:c>
      <x:c r="J1" s="9" t="str">
        <x:v>Success_metric</x:v>
      </x:c>
      <x:c r="K1" s="9" t="str">
        <x:v>Expected_benefit</x:v>
      </x:c>
      <x:c r="L1" s="9" t="str">
        <x:v>Status</x:v>
      </x:c>
      <x:c r="M1" s="9" t="str">
        <x:v>Impact (1–5)</x:v>
      </x:c>
      <x:c r="N1" s="9" t="str">
        <x:v>Urgency (1–5)</x:v>
      </x:c>
      <x:c r="O1" s="9" t="str">
        <x:v>Effort (1–5)</x:v>
      </x:c>
      <x:c r="P1" s="9" t="str">
        <x:v>Impact x urgency / effort</x:v>
      </x:c>
    </x:row>
    <x:row r="2" ht="32" customHeight="1">
      <x:c r="A2" s="4" t="str">
        <x:v>R01</x:v>
      </x:c>
      <x:c r="B2" s="4" t="str">
        <x:v>NOW</x:v>
      </x:c>
      <x:c r="C2" s="4" t="str">
        <x:v>Remove both placeholder Breckenridge embeds; retain verified official outbound link</x:v>
      </x:c>
      <x:c r="D2" s="4" t="str">
        <x:v>Critical</x:v>
      </x:c>
      <x:c r="E2" s="44" t="n">
        <x:v>46275</x:v>
      </x:c>
      <x:c r="F2" s="4" t="str">
        <x:v>Jared</x:v>
      </x:c>
      <x:c r="G2" s="4" t="n">
        <x:v>2</x:v>
      </x:c>
      <x:c r="H2" s="34" t="n">
        <x:v>0</x:v>
      </x:c>
      <x:c r="I2" s="4" t="str">
        <x:v>None</x:v>
      </x:c>
      <x:c r="J2" s="4" t="str">
        <x:v>Zero placeholder or fabricated source URLs visible</x:v>
      </x:c>
      <x:c r="K2" s="4" t="str">
        <x:v>Stop avoidable trust loss</x:v>
      </x:c>
      <x:c r="L2" s="4" t="str">
        <x:v>Not started</x:v>
      </x:c>
      <x:c r="M2" s="4" t="n">
        <x:v>5</x:v>
      </x:c>
      <x:c r="N2" s="4" t="n">
        <x:v>5</x:v>
      </x:c>
      <x:c r="O2" s="4" t="n">
        <x:v>1</x:v>
      </x:c>
      <x:c r="P2" s="46" t="n">
        <x:f>M2*N2/O2</x:f>
        <x:v>25</x:v>
      </x:c>
      <x:c r="Q2"/>
    </x:row>
    <x:row r="3" ht="32" customHeight="1">
      <x:c r="A3" s="4" t="str">
        <x:v>R02</x:v>
      </x:c>
      <x:c r="B3" s="4" t="str">
        <x:v>NOW</x:v>
      </x:c>
      <x:c r="C3" s="4" t="str">
        <x:v>Create camera provenance/permission register and verify all five entries</x:v>
      </x:c>
      <x:c r="D3" s="4" t="str">
        <x:v>Critical</x:v>
      </x:c>
      <x:c r="E3" s="44" t="n">
        <x:v>46277</x:v>
      </x:c>
      <x:c r="F3" s="4" t="str">
        <x:v>Jared</x:v>
      </x:c>
      <x:c r="G3" s="4" t="n">
        <x:v>5</x:v>
      </x:c>
      <x:c r="H3" s="34" t="n">
        <x:v>0</x:v>
      </x:c>
      <x:c r="I3" s="4" t="str">
        <x:v>R01</x:v>
      </x:c>
      <x:c r="J3" s="4" t="str">
        <x:v>Each visible entry has owner, source, mode and check date</x:v>
      </x:c>
      <x:c r="K3" s="4" t="str">
        <x:v>Control content and reliability risk</x:v>
      </x:c>
      <x:c r="L3" s="4" t="str">
        <x:v>Not started</x:v>
      </x:c>
      <x:c r="M3" s="4" t="n">
        <x:v>5</x:v>
      </x:c>
      <x:c r="N3" s="4" t="n">
        <x:v>5</x:v>
      </x:c>
      <x:c r="O3" s="4" t="n">
        <x:v>2</x:v>
      </x:c>
      <x:c r="P3" s="46" t="n">
        <x:f>M3*N3/O3</x:f>
        <x:v>12.5</x:v>
      </x:c>
      <x:c r="Q3"/>
    </x:row>
    <x:row r="4" ht="32" customHeight="1">
      <x:c r="A4" s="4" t="str">
        <x:v>R03</x:v>
      </x:c>
      <x:c r="B4" s="4" t="str">
        <x:v>NOW</x:v>
      </x:c>
      <x:c r="C4" s="4" t="str">
        <x:v>Read current policies, actual Vercel billing and analytics dashboards</x:v>
      </x:c>
      <x:c r="D4" s="4" t="str">
        <x:v>Critical</x:v>
      </x:c>
      <x:c r="E4" s="44" t="n">
        <x:v>46277</x:v>
      </x:c>
      <x:c r="F4" s="4" t="str">
        <x:v>Jared</x:v>
      </x:c>
      <x:c r="G4" s="4" t="n">
        <x:v>3</x:v>
      </x:c>
      <x:c r="H4" s="34" t="n">
        <x:v>0</x:v>
      </x:c>
      <x:c r="I4" s="4" t="str">
        <x:v>Owner dashboard access</x:v>
      </x:c>
      <x:c r="J4" s="4" t="str">
        <x:v>Actual plan, spend, 30-day users and policy gaps recorded</x:v>
      </x:c>
      <x:c r="K4" s="4" t="str">
        <x:v>Replace unknown baselines</x:v>
      </x:c>
      <x:c r="L4" s="4" t="str">
        <x:v>Not started</x:v>
      </x:c>
      <x:c r="M4" s="4" t="n">
        <x:v>5</x:v>
      </x:c>
      <x:c r="N4" s="4" t="n">
        <x:v>5</x:v>
      </x:c>
      <x:c r="O4" s="4" t="n">
        <x:v>1</x:v>
      </x:c>
      <x:c r="P4" s="46" t="n">
        <x:f>M4*N4/O4</x:f>
        <x:v>25</x:v>
      </x:c>
      <x:c r="Q4"/>
    </x:row>
    <x:row r="5" ht="32" customHeight="1">
      <x:c r="A5" s="4" t="str">
        <x:v>R04</x:v>
      </x:c>
      <x:c r="B5" s="4" t="str">
        <x:v>NOW</x:v>
      </x:c>
      <x:c r="C5" s="4" t="str">
        <x:v>Test 10 end-to-end journeys on Android, iPhone and desktop</x:v>
      </x:c>
      <x:c r="D5" s="4" t="str">
        <x:v>Critical</x:v>
      </x:c>
      <x:c r="E5" s="44" t="n">
        <x:v>46280</x:v>
      </x:c>
      <x:c r="F5" s="4" t="str">
        <x:v>Jared</x:v>
      </x:c>
      <x:c r="G5" s="4" t="n">
        <x:v>5</x:v>
      </x:c>
      <x:c r="H5" s="34" t="n">
        <x:v>0</x:v>
      </x:c>
      <x:c r="I5" s="4" t="str">
        <x:v>R01</x:v>
      </x:c>
      <x:c r="J5" s="4" t="str">
        <x:v>At least 9/10 users reach intended source within 20 seconds</x:v>
      </x:c>
      <x:c r="K5" s="4" t="str">
        <x:v>Validate core use case</x:v>
      </x:c>
      <x:c r="L5" s="4" t="str">
        <x:v>Not started</x:v>
      </x:c>
      <x:c r="M5" s="4" t="n">
        <x:v>5</x:v>
      </x:c>
      <x:c r="N5" s="4" t="n">
        <x:v>5</x:v>
      </x:c>
      <x:c r="O5" s="4" t="n">
        <x:v>2</x:v>
      </x:c>
      <x:c r="P5" s="46" t="n">
        <x:f>M5*N5/O5</x:f>
        <x:v>12.5</x:v>
      </x:c>
      <x:c r="Q5"/>
    </x:row>
    <x:row r="6" ht="32" customHeight="1">
      <x:c r="A6" s="4" t="str">
        <x:v>R05</x:v>
      </x:c>
      <x:c r="B6" s="4" t="str">
        <x:v>NOW</x:v>
      </x:c>
      <x:c r="C6" s="4" t="str">
        <x:v>Separate embed-load telemetry from verified playback; validate event capture</x:v>
      </x:c>
      <x:c r="D6" s="4" t="str">
        <x:v>Critical</x:v>
      </x:c>
      <x:c r="E6" s="44" t="n">
        <x:v>46281</x:v>
      </x:c>
      <x:c r="F6" s="4" t="str">
        <x:v>Jared</x:v>
      </x:c>
      <x:c r="G6" s="4" t="n">
        <x:v>6</x:v>
      </x:c>
      <x:c r="H6" s="34" t="n">
        <x:v>0</x:v>
      </x:c>
      <x:c r="I6" s="4" t="str">
        <x:v>R03</x:v>
      </x:c>
      <x:c r="J6" s="4" t="str">
        <x:v>All required core events have clean test payloads</x:v>
      </x:c>
      <x:c r="K6" s="4" t="str">
        <x:v>Avoid fake activation metrics</x:v>
      </x:c>
      <x:c r="L6" s="4" t="str">
        <x:v>Not started</x:v>
      </x:c>
      <x:c r="M6" s="4" t="n">
        <x:v>5</x:v>
      </x:c>
      <x:c r="N6" s="4" t="n">
        <x:v>5</x:v>
      </x:c>
      <x:c r="O6" s="4" t="n">
        <x:v>2</x:v>
      </x:c>
      <x:c r="P6" s="46" t="n">
        <x:f>M6*N6/O6</x:f>
        <x:v>12.5</x:v>
      </x:c>
      <x:c r="Q6"/>
    </x:row>
    <x:row r="7" ht="32" customHeight="1">
      <x:c r="A7" s="4" t="str">
        <x:v>R06</x:v>
      </x:c>
      <x:c r="B7" s="4" t="str">
        <x:v>NOW</x:v>
      </x:c>
      <x:c r="C7" s="4" t="str">
        <x:v>Send permission-first First 7 resort inquiries and 3 provider inquiries</x:v>
      </x:c>
      <x:c r="D7" s="4" t="str">
        <x:v>Season</x:v>
      </x:c>
      <x:c r="E7" s="44" t="n">
        <x:v>46283</x:v>
      </x:c>
      <x:c r="F7" s="4" t="str">
        <x:v>Jared</x:v>
      </x:c>
      <x:c r="G7" s="4" t="n">
        <x:v>5</x:v>
      </x:c>
      <x:c r="H7" s="34" t="n">
        <x:v>0</x:v>
      </x:c>
      <x:c r="I7" s="4" t="str">
        <x:v>R01,R02</x:v>
      </x:c>
      <x:c r="J7" s="4" t="str">
        <x:v>10 tailored messages; 2 conversations target</x:v>
      </x:c>
      <x:c r="K7" s="4" t="str">
        <x:v>Secure access before scaling</x:v>
      </x:c>
      <x:c r="L7" s="4" t="str">
        <x:v>Not started</x:v>
      </x:c>
      <x:c r="M7" s="4" t="n">
        <x:v>4</x:v>
      </x:c>
      <x:c r="N7" s="4" t="n">
        <x:v>5</x:v>
      </x:c>
      <x:c r="O7" s="4" t="n">
        <x:v>2</x:v>
      </x:c>
      <x:c r="P7" s="46" t="n">
        <x:f>M7*N7/O7</x:f>
        <x:v>10</x:v>
      </x:c>
      <x:c r="Q7"/>
    </x:row>
    <x:row r="8" ht="32" customHeight="1">
      <x:c r="A8" s="4" t="str">
        <x:v>R07</x:v>
      </x:c>
      <x:c r="B8" s="4" t="str">
        <x:v>NOW</x:v>
      </x:c>
      <x:c r="C8" s="4" t="str">
        <x:v>Consult media/IP attorney on thumbnails, embeds, takedown and pilot terms</x:v>
      </x:c>
      <x:c r="D8" s="4" t="str">
        <x:v>Critical</x:v>
      </x:c>
      <x:c r="E8" s="44" t="n">
        <x:v>46290</x:v>
      </x:c>
      <x:c r="F8" s="4" t="str">
        <x:v>Jared + IP attorney</x:v>
      </x:c>
      <x:c r="G8" s="4" t="n">
        <x:v>3</x:v>
      </x:c>
      <x:c r="H8" s="34" t="n">
        <x:v>900</x:v>
      </x:c>
      <x:c r="I8" s="4" t="str">
        <x:v>R02</x:v>
      </x:c>
      <x:c r="J8" s="4" t="str">
        <x:v>Written permitted-use approach and red-line checklist</x:v>
      </x:c>
      <x:c r="K8" s="4" t="str">
        <x:v>Address existential content exposure</x:v>
      </x:c>
      <x:c r="L8" s="4" t="str">
        <x:v>Not started</x:v>
      </x:c>
      <x:c r="M8" s="4" t="n">
        <x:v>5</x:v>
      </x:c>
      <x:c r="N8" s="4" t="n">
        <x:v>5</x:v>
      </x:c>
      <x:c r="O8" s="4" t="n">
        <x:v>1</x:v>
      </x:c>
      <x:c r="P8" s="46" t="n">
        <x:f>M8*N8/O8</x:f>
        <x:v>25</x:v>
      </x:c>
      <x:c r="Q8"/>
    </x:row>
    <x:row r="9" ht="32" customHeight="1">
      <x:c r="A9" s="4" t="str">
        <x:v>R08</x:v>
      </x:c>
      <x:c r="B9" s="4" t="str">
        <x:v>NOW</x:v>
      </x:c>
      <x:c r="C9" s="4" t="str">
        <x:v>Choose home-state entity approach; obtain EIN/bank separation when appropriate</x:v>
      </x:c>
      <x:c r="D9" s="4" t="str">
        <x:v>Critical</x:v>
      </x:c>
      <x:c r="E9" s="44" t="n">
        <x:v>46295</x:v>
      </x:c>
      <x:c r="F9" s="4" t="str">
        <x:v>Jared</x:v>
      </x:c>
      <x:c r="G9" s="4" t="n">
        <x:v>4</x:v>
      </x:c>
      <x:c r="H9" s="34" t="n">
        <x:v>300</x:v>
      </x:c>
      <x:c r="I9" s="4" t="str">
        <x:v>Operating state and counsel/tax review</x:v>
      </x:c>
      <x:c r="J9" s="4" t="str">
        <x:v>Entity/DBA/tax requirements mapped; separate ledger live</x:v>
      </x:c>
      <x:c r="K9" s="4" t="str">
        <x:v>Enable professional contracting</x:v>
      </x:c>
      <x:c r="L9" s="4" t="str">
        <x:v>Not started</x:v>
      </x:c>
      <x:c r="M9" s="4" t="n">
        <x:v>5</x:v>
      </x:c>
      <x:c r="N9" s="4" t="n">
        <x:v>5</x:v>
      </x:c>
      <x:c r="O9" s="4" t="n">
        <x:v>1</x:v>
      </x:c>
      <x:c r="P9" s="46" t="n">
        <x:f>M9*N9/O9</x:f>
        <x:v>25</x:v>
      </x:c>
      <x:c r="Q9"/>
    </x:row>
    <x:row r="10" ht="32" customHeight="1">
      <x:c r="A10" s="4" t="str">
        <x:v>R09</x:v>
      </x:c>
      <x:c r="B10" s="4" t="str">
        <x:v>NOW</x:v>
      </x:c>
      <x:c r="C10" s="4" t="str">
        <x:v>Publish accurate coverage, founder/contact, source credit and correction process</x:v>
      </x:c>
      <x:c r="D10" s="4" t="str">
        <x:v>Critical</x:v>
      </x:c>
      <x:c r="E10" s="44" t="n">
        <x:v>46285</x:v>
      </x:c>
      <x:c r="F10" s="4" t="str">
        <x:v>Jared</x:v>
      </x:c>
      <x:c r="G10" s="4" t="n">
        <x:v>5</x:v>
      </x:c>
      <x:c r="H10" s="34" t="n">
        <x:v>50</x:v>
      </x:c>
      <x:c r="I10" s="4" t="str">
        <x:v>R02,R07 scope</x:v>
      </x:c>
      <x:c r="J10" s="4" t="str">
        <x:v>No unearned national/live coverage claims</x:v>
      </x:c>
      <x:c r="K10" s="4" t="str">
        <x:v>Increase trust and response probability</x:v>
      </x:c>
      <x:c r="L10" s="4" t="str">
        <x:v>Not started</x:v>
      </x:c>
      <x:c r="M10" s="4" t="n">
        <x:v>5</x:v>
      </x:c>
      <x:c r="N10" s="4" t="n">
        <x:v>5</x:v>
      </x:c>
      <x:c r="O10" s="4" t="n">
        <x:v>2</x:v>
      </x:c>
      <x:c r="P10" s="46" t="n">
        <x:f>M10*N10/O10</x:f>
        <x:v>12.5</x:v>
      </x:c>
      <x:c r="Q10"/>
    </x:row>
    <x:row r="11" ht="32" customHeight="1">
      <x:c r="A11" s="4" t="str">
        <x:v>R10</x:v>
      </x:c>
      <x:c r="B11" s="4" t="str">
        <x:v>NOW</x:v>
      </x:c>
      <x:c r="C11" s="4" t="str">
        <x:v>Interview 12 Colorado skiers about last pre-drive camera decision</x:v>
      </x:c>
      <x:c r="D11" s="4" t="str">
        <x:v>Season</x:v>
      </x:c>
      <x:c r="E11" s="44" t="n">
        <x:v>46292</x:v>
      </x:c>
      <x:c r="F11" s="4" t="str">
        <x:v>Jared</x:v>
      </x:c>
      <x:c r="G11" s="4" t="n">
        <x:v>8</x:v>
      </x:c>
      <x:c r="H11" s="34" t="n">
        <x:v>100</x:v>
      </x:c>
      <x:c r="I11" s="4" t="str">
        <x:v>Recruit via clubs/personal network</x:v>
      </x:c>
      <x:c r="J11" s="4" t="str">
        <x:v>12 behavioral interviews; top recurring job identified</x:v>
      </x:c>
      <x:c r="K11" s="4" t="str">
        <x:v>Avoid feature-led guessing</x:v>
      </x:c>
      <x:c r="L11" s="4" t="str">
        <x:v>Not started</x:v>
      </x:c>
      <x:c r="M11" s="4" t="n">
        <x:v>4</x:v>
      </x:c>
      <x:c r="N11" s="4" t="n">
        <x:v>5</x:v>
      </x:c>
      <x:c r="O11" s="4" t="n">
        <x:v>2</x:v>
      </x:c>
      <x:c r="P11" s="46" t="n">
        <x:f>M11*N11/O11</x:f>
        <x:v>10</x:v>
      </x:c>
      <x:c r="Q11"/>
    </x:row>
    <x:row r="12" ht="32" customHeight="1">
      <x:c r="A12" s="4" t="str">
        <x:v>R11</x:v>
      </x:c>
      <x:c r="B12" s="4" t="str">
        <x:v>BEFORE NOVEMBER</x:v>
      </x:c>
      <x:c r="C12" s="4" t="str">
        <x:v>Curate 12 reliable Colorado resort pages; use link-first when rights unclear</x:v>
      </x:c>
      <x:c r="D12" s="4" t="str">
        <x:v>Season</x:v>
      </x:c>
      <x:c r="E12" s="44" t="n">
        <x:v>46310</x:v>
      </x:c>
      <x:c r="F12" s="4" t="str">
        <x:v>Jared</x:v>
      </x:c>
      <x:c r="G12" s="4" t="n">
        <x:v>18</x:v>
      </x:c>
      <x:c r="H12" s="34" t="n">
        <x:v>0</x:v>
      </x:c>
      <x:c r="I12" s="4" t="str">
        <x:v>R02,R06</x:v>
      </x:c>
      <x:c r="J12" s="4" t="str">
        <x:v>12 unique useful pages; all visible sources checked weekly</x:v>
      </x:c>
      <x:c r="K12" s="4" t="str">
        <x:v>Create regional depth</x:v>
      </x:c>
      <x:c r="L12" s="4" t="str">
        <x:v>Not started</x:v>
      </x:c>
      <x:c r="M12" s="4" t="n">
        <x:v>4</x:v>
      </x:c>
      <x:c r="N12" s="4" t="n">
        <x:v>5</x:v>
      </x:c>
      <x:c r="O12" s="4" t="n">
        <x:v>5</x:v>
      </x:c>
      <x:c r="P12" s="46" t="n">
        <x:f>M12*N12/O12</x:f>
        <x:v>4</x:v>
      </x:c>
      <x:c r="Q12"/>
    </x:row>
    <x:row r="13" ht="32" customHeight="1">
      <x:c r="A13" s="4" t="str">
        <x:v>R12</x:v>
      </x:c>
      <x:c r="B13" s="4" t="str">
        <x:v>BEFORE NOVEMBER</x:v>
      </x:c>
      <x:c r="C13" s="4" t="str">
        <x:v>Implement browser-local favorites and one-click share without accounts</x:v>
      </x:c>
      <x:c r="D13" s="4" t="str">
        <x:v>Season</x:v>
      </x:c>
      <x:c r="E13" s="44" t="n">
        <x:v>46305</x:v>
      </x:c>
      <x:c r="F13" s="4" t="str">
        <x:v>Jared</x:v>
      </x:c>
      <x:c r="G13" s="4" t="n">
        <x:v>10</x:v>
      </x:c>
      <x:c r="H13" s="34" t="n">
        <x:v>0</x:v>
      </x:c>
      <x:c r="I13" s="4" t="str">
        <x:v>R04,R05</x:v>
      </x:c>
      <x:c r="J13" s="4" t="str">
        <x:v>20% of 50 beta users save at least one resort</x:v>
      </x:c>
      <x:c r="K13" s="4" t="str">
        <x:v>Test repeat-use value</x:v>
      </x:c>
      <x:c r="L13" s="4" t="str">
        <x:v>Not started</x:v>
      </x:c>
      <x:c r="M13" s="4" t="n">
        <x:v>4</x:v>
      </x:c>
      <x:c r="N13" s="4" t="n">
        <x:v>5</x:v>
      </x:c>
      <x:c r="O13" s="4" t="n">
        <x:v>3</x:v>
      </x:c>
      <x:c r="P13" s="46" t="n">
        <x:f>M13*N13/O13</x:f>
        <x:v>6.666666666666667</x:v>
      </x:c>
      <x:c r="Q13"/>
    </x:row>
    <x:row r="14" ht="32" customHeight="1">
      <x:c r="A14" s="4" t="str">
        <x:v>R13</x:v>
      </x:c>
      <x:c r="B14" s="4" t="str">
        <x:v>BEFORE NOVEMBER</x:v>
      </x:c>
      <x:c r="C14" s="4" t="str">
        <x:v>Set Search Console; validate sitemap, redirects, canonicals, indexation</x:v>
      </x:c>
      <x:c r="D14" s="4" t="str">
        <x:v>Season</x:v>
      </x:c>
      <x:c r="E14" s="44" t="n">
        <x:v>46307</x:v>
      </x:c>
      <x:c r="F14" s="4" t="str">
        <x:v>Jared</x:v>
      </x:c>
      <x:c r="G14" s="4" t="n">
        <x:v>6</x:v>
      </x:c>
      <x:c r="H14" s="34" t="n">
        <x:v>0</x:v>
      </x:c>
      <x:c r="I14" s="4" t="str">
        <x:v>R11</x:v>
      </x:c>
      <x:c r="J14" s="4" t="str">
        <x:v>No placeholder URLs submitted; all priority pages inspectable</x:v>
      </x:c>
      <x:c r="K14" s="4" t="str">
        <x:v>Enable discoverability</x:v>
      </x:c>
      <x:c r="L14" s="4" t="str">
        <x:v>Not started</x:v>
      </x:c>
      <x:c r="M14" s="4" t="n">
        <x:v>4</x:v>
      </x:c>
      <x:c r="N14" s="4" t="n">
        <x:v>5</x:v>
      </x:c>
      <x:c r="O14" s="4" t="n">
        <x:v>2</x:v>
      </x:c>
      <x:c r="P14" s="46" t="n">
        <x:f>M14*N14/O14</x:f>
        <x:v>10</x:v>
      </x:c>
      <x:c r="Q14"/>
    </x:row>
    <x:row r="15" ht="32" customHeight="1">
      <x:c r="A15" s="4" t="str">
        <x:v>R14</x:v>
      </x:c>
      <x:c r="B15" s="4" t="str">
        <x:v>BEFORE NOVEMBER</x:v>
      </x:c>
      <x:c r="C15" s="4" t="str">
        <x:v>Create 4 genuinely useful region/drive-corridor guides</x:v>
      </x:c>
      <x:c r="D15" s="4" t="str">
        <x:v>Season</x:v>
      </x:c>
      <x:c r="E15" s="44" t="n">
        <x:v>46320</x:v>
      </x:c>
      <x:c r="F15" s="4" t="str">
        <x:v>Jared</x:v>
      </x:c>
      <x:c r="G15" s="4" t="n">
        <x:v>14</x:v>
      </x:c>
      <x:c r="H15" s="34" t="n">
        <x:v>300</x:v>
      </x:c>
      <x:c r="I15" s="4" t="str">
        <x:v>R11</x:v>
      </x:c>
      <x:c r="J15" s="4" t="str">
        <x:v>Unique decision information; source credits and internal links</x:v>
      </x:c>
      <x:c r="K15" s="4" t="str">
        <x:v>Win specific search intents</x:v>
      </x:c>
      <x:c r="L15" s="4" t="str">
        <x:v>Not started</x:v>
      </x:c>
      <x:c r="M15" s="4" t="n">
        <x:v>4</x:v>
      </x:c>
      <x:c r="N15" s="4" t="n">
        <x:v>5</x:v>
      </x:c>
      <x:c r="O15" s="4" t="n">
        <x:v>4</x:v>
      </x:c>
      <x:c r="P15" s="46" t="n">
        <x:f>M15*N15/O15</x:f>
        <x:v>5</x:v>
      </x:c>
      <x:c r="Q15"/>
    </x:row>
    <x:row r="16" ht="32" customHeight="1">
      <x:c r="A16" s="4" t="str">
        <x:v>R15</x:v>
      </x:c>
      <x:c r="B16" s="4" t="str">
        <x:v>BEFORE NOVEMBER</x:v>
      </x:c>
      <x:c r="C16" s="4" t="str">
        <x:v>Obtain affiliate approval for one lodging and one rental/gear offer</x:v>
      </x:c>
      <x:c r="D16" s="4" t="str">
        <x:v>Season</x:v>
      </x:c>
      <x:c r="E16" s="44" t="n">
        <x:v>46315</x:v>
      </x:c>
      <x:c r="F16" s="4" t="str">
        <x:v>Jared</x:v>
      </x:c>
      <x:c r="G16" s="4" t="n">
        <x:v>6</x:v>
      </x:c>
      <x:c r="H16" s="34" t="n">
        <x:v>0</x:v>
      </x:c>
      <x:c r="I16" s="4" t="str">
        <x:v>R09</x:v>
      </x:c>
      <x:c r="J16" s="4" t="str">
        <x:v>Written acceptance + test click attribution; no self-booking abuse</x:v>
      </x:c>
      <x:c r="K16" s="4" t="str">
        <x:v>Enable measurable first revenue</x:v>
      </x:c>
      <x:c r="L16" s="4" t="str">
        <x:v>Not started</x:v>
      </x:c>
      <x:c r="M16" s="4" t="n">
        <x:v>4</x:v>
      </x:c>
      <x:c r="N16" s="4" t="n">
        <x:v>5</x:v>
      </x:c>
      <x:c r="O16" s="4" t="n">
        <x:v>2</x:v>
      </x:c>
      <x:c r="P16" s="46" t="n">
        <x:f>M16*N16/O16</x:f>
        <x:v>10</x:v>
      </x:c>
      <x:c r="Q16"/>
    </x:row>
    <x:row r="17" ht="32" customHeight="1">
      <x:c r="A17" s="4" t="str">
        <x:v>R16</x:v>
      </x:c>
      <x:c r="B17" s="4" t="str">
        <x:v>BEFORE NOVEMBER</x:v>
      </x:c>
      <x:c r="C17" s="4" t="str">
        <x:v>Add contextual affiliate link and disclosure only on appropriate pages</x:v>
      </x:c>
      <x:c r="D17" s="4" t="str">
        <x:v>Season</x:v>
      </x:c>
      <x:c r="E17" s="44" t="n">
        <x:v>46325</x:v>
      </x:c>
      <x:c r="F17" s="4" t="str">
        <x:v>Jared</x:v>
      </x:c>
      <x:c r="G17" s="4" t="n">
        <x:v>8</x:v>
      </x:c>
      <x:c r="H17" s="34" t="n">
        <x:v>0</x:v>
      </x:c>
      <x:c r="I17" s="4" t="str">
        <x:v>R15,R05</x:v>
      </x:c>
      <x:c r="J17" s="4" t="str">
        <x:v>Click and sub-ID reconciliation tested end to end</x:v>
      </x:c>
      <x:c r="K17" s="4" t="str">
        <x:v>Monetize intent without clutter</x:v>
      </x:c>
      <x:c r="L17" s="4" t="str">
        <x:v>Not started</x:v>
      </x:c>
      <x:c r="M17" s="4" t="n">
        <x:v>4</x:v>
      </x:c>
      <x:c r="N17" s="4" t="n">
        <x:v>5</x:v>
      </x:c>
      <x:c r="O17" s="4" t="n">
        <x:v>2</x:v>
      </x:c>
      <x:c r="P17" s="46" t="n">
        <x:f>M17*N17/O17</x:f>
        <x:v>10</x:v>
      </x:c>
      <x:c r="Q17"/>
    </x:row>
    <x:row r="18" ht="32" customHeight="1">
      <x:c r="A18" s="4" t="str">
        <x:v>R17</x:v>
      </x:c>
      <x:c r="B18" s="4" t="str">
        <x:v>BEFORE NOVEMBER</x:v>
      </x:c>
      <x:c r="C18" s="4" t="str">
        <x:v>Run 3 club/concierge beta distribution pilots</x:v>
      </x:c>
      <x:c r="D18" s="4" t="str">
        <x:v>Season</x:v>
      </x:c>
      <x:c r="E18" s="44" t="n">
        <x:v>46325</x:v>
      </x:c>
      <x:c r="F18" s="4" t="str">
        <x:v>Jared</x:v>
      </x:c>
      <x:c r="G18" s="4" t="n">
        <x:v>8</x:v>
      </x:c>
      <x:c r="H18" s="34" t="n">
        <x:v>100</x:v>
      </x:c>
      <x:c r="I18" s="4" t="str">
        <x:v>R11,R12</x:v>
      </x:c>
      <x:c r="J18" s="4" t="str">
        <x:v>100 referred users; qualified-action and repeat cohorts measured</x:v>
      </x:c>
      <x:c r="K18" s="4" t="str">
        <x:v>Find a low-cost repeatable channel</x:v>
      </x:c>
      <x:c r="L18" s="4" t="str">
        <x:v>Not started</x:v>
      </x:c>
      <x:c r="M18" s="4" t="n">
        <x:v>4</x:v>
      </x:c>
      <x:c r="N18" s="4" t="n">
        <x:v>5</x:v>
      </x:c>
      <x:c r="O18" s="4" t="n">
        <x:v>2</x:v>
      </x:c>
      <x:c r="P18" s="46" t="n">
        <x:f>M18*N18/O18</x:f>
        <x:v>10</x:v>
      </x:c>
      <x:c r="Q18"/>
    </x:row>
    <x:row r="19" ht="32" customHeight="1">
      <x:c r="A19" s="4" t="str">
        <x:v>R18</x:v>
      </x:c>
      <x:c r="B19" s="4" t="str">
        <x:v>BEFORE NOVEMBER</x:v>
      </x:c>
      <x:c r="C19" s="4" t="str">
        <x:v>Set mobile performance and broken-camera operating checks</x:v>
      </x:c>
      <x:c r="D19" s="4" t="str">
        <x:v>Critical</x:v>
      </x:c>
      <x:c r="E19" s="44" t="n">
        <x:v>46326</x:v>
      </x:c>
      <x:c r="F19" s="4" t="str">
        <x:v>Jared</x:v>
      </x:c>
      <x:c r="G19" s="4" t="n">
        <x:v>8</x:v>
      </x:c>
      <x:c r="H19" s="34" t="n">
        <x:v>50</x:v>
      </x:c>
      <x:c r="I19" s="4" t="str">
        <x:v>R04,R11</x:v>
      </x:c>
      <x:c r="J19" s="4" t="str">
        <x:v>No layout-blocking video loads; health status and fallback tested</x:v>
      </x:c>
      <x:c r="K19" s="4" t="str">
        <x:v>Keep core utility reliable</x:v>
      </x:c>
      <x:c r="L19" s="4" t="str">
        <x:v>Not started</x:v>
      </x:c>
      <x:c r="M19" s="4" t="n">
        <x:v>5</x:v>
      </x:c>
      <x:c r="N19" s="4" t="n">
        <x:v>5</x:v>
      </x:c>
      <x:c r="O19" s="4" t="n">
        <x:v>2</x:v>
      </x:c>
      <x:c r="P19" s="46" t="n">
        <x:f>M19*N19/O19</x:f>
        <x:v>12.5</x:v>
      </x:c>
      <x:c r="Q19"/>
    </x:row>
    <x:row r="20" ht="32" customHeight="1">
      <x:c r="A20" s="4" t="str">
        <x:v>R19</x:v>
      </x:c>
      <x:c r="B20" s="4" t="str">
        <x:v>BEFORE NOVEMBER</x:v>
      </x:c>
      <x:c r="C20" s="4" t="str">
        <x:v>Test permissioned morning-camera content formats, 12 posts total</x:v>
      </x:c>
      <x:c r="D20" s="4" t="str">
        <x:v>Season</x:v>
      </x:c>
      <x:c r="E20" s="44" t="n">
        <x:v>46326</x:v>
      </x:c>
      <x:c r="F20" s="4" t="str">
        <x:v>Jared</x:v>
      </x:c>
      <x:c r="G20" s="4" t="n">
        <x:v>12</x:v>
      </x:c>
      <x:c r="H20" s="34" t="n">
        <x:v>150</x:v>
      </x:c>
      <x:c r="I20" s="4" t="str">
        <x:v>Written still/video reuse rights</x:v>
      </x:c>
      <x:c r="J20" s="4" t="str">
        <x:v>Compare qualified visits/production hour, not likes</x:v>
      </x:c>
      <x:c r="K20" s="4" t="str">
        <x:v>Identify one content format worth repeating</x:v>
      </x:c>
      <x:c r="L20" s="4" t="str">
        <x:v>Not started</x:v>
      </x:c>
      <x:c r="M20" s="4" t="n">
        <x:v>4</x:v>
      </x:c>
      <x:c r="N20" s="4" t="n">
        <x:v>5</x:v>
      </x:c>
      <x:c r="O20" s="4" t="n">
        <x:v>3</x:v>
      </x:c>
      <x:c r="P20" s="46" t="n">
        <x:f>M20*N20/O20</x:f>
        <x:v>6.666666666666667</x:v>
      </x:c>
      <x:c r="Q20"/>
    </x:row>
    <x:row r="21" ht="32" customHeight="1">
      <x:c r="A21" s="4" t="str">
        <x:v>R20</x:v>
      </x:c>
      <x:c r="B21" s="4" t="str">
        <x:v>BEFORE NOVEMBER</x:v>
      </x:c>
      <x:c r="C21" s="4" t="str">
        <x:v>Run Pro concept page with explicit waitlist, no automatic charge</x:v>
      </x:c>
      <x:c r="D21" s="4" t="str">
        <x:v>Season</x:v>
      </x:c>
      <x:c r="E21" s="44" t="n">
        <x:v>46326</x:v>
      </x:c>
      <x:c r="F21" s="4" t="str">
        <x:v>Jared</x:v>
      </x:c>
      <x:c r="G21" s="4" t="n">
        <x:v>4</x:v>
      </x:c>
      <x:c r="H21" s="34" t="n">
        <x:v>0</x:v>
      </x:c>
      <x:c r="I21" s="4" t="str">
        <x:v>R10,R12</x:v>
      </x:c>
      <x:c r="J21" s="4" t="str">
        <x:v>Price-specific intent from 200 eligible visitors</x:v>
      </x:c>
      <x:c r="K21" s="4" t="str">
        <x:v>Test willingness before building</x:v>
      </x:c>
      <x:c r="L21" s="4" t="str">
        <x:v>Not started</x:v>
      </x:c>
      <x:c r="M21" s="4" t="n">
        <x:v>4</x:v>
      </x:c>
      <x:c r="N21" s="4" t="n">
        <x:v>5</x:v>
      </x:c>
      <x:c r="O21" s="4" t="n">
        <x:v>1</x:v>
      </x:c>
      <x:c r="P21" s="46" t="n">
        <x:f>M21*N21/O21</x:f>
        <x:v>20</x:v>
      </x:c>
      <x:c r="Q21"/>
    </x:row>
    <x:row r="22" ht="32" customHeight="1">
      <x:c r="A22" s="4" t="str">
        <x:v>R21</x:v>
      </x:c>
      <x:c r="B22" s="4" t="str">
        <x:v>BEFORE NOVEMBER</x:v>
      </x:c>
      <x:c r="C22" s="4" t="str">
        <x:v>Build one real media-kit page with actual audience placeholders filled</x:v>
      </x:c>
      <x:c r="D22" s="4" t="str">
        <x:v>Season</x:v>
      </x:c>
      <x:c r="E22" s="44" t="n">
        <x:v>46326</x:v>
      </x:c>
      <x:c r="F22" s="4" t="str">
        <x:v>Jared</x:v>
      </x:c>
      <x:c r="G22" s="4" t="n">
        <x:v>3</x:v>
      </x:c>
      <x:c r="H22" s="34" t="n">
        <x:v>0</x:v>
      </x:c>
      <x:c r="I22" s="4" t="str">
        <x:v>R03,R17</x:v>
      </x:c>
      <x:c r="J22" s="4" t="str">
        <x:v>All metrics dated; paid placement clearly labeled</x:v>
      </x:c>
      <x:c r="K22" s="4" t="str">
        <x:v>Avoid fabricated traction in sales</x:v>
      </x:c>
      <x:c r="L22" s="4" t="str">
        <x:v>Not started</x:v>
      </x:c>
      <x:c r="M22" s="4" t="n">
        <x:v>4</x:v>
      </x:c>
      <x:c r="N22" s="4" t="n">
        <x:v>5</x:v>
      </x:c>
      <x:c r="O22" s="4" t="n">
        <x:v>1</x:v>
      </x:c>
      <x:c r="P22" s="46" t="n">
        <x:f>M22*N22/O22</x:f>
        <x:v>20</x:v>
      </x:c>
      <x:c r="Q22"/>
    </x:row>
    <x:row r="23" ht="32" customHeight="1">
      <x:c r="A23" s="4" t="str">
        <x:v>R22</x:v>
      </x:c>
      <x:c r="B23" s="4" t="str">
        <x:v>THANKSGIVING–CHRISTMAS</x:v>
      </x:c>
      <x:c r="C23" s="4" t="str">
        <x:v>Expand to 20 reliable resort pages only if weekly maintenance manageable</x:v>
      </x:c>
      <x:c r="D23" s="4" t="str">
        <x:v>Season</x:v>
      </x:c>
      <x:c r="E23" s="44" t="n">
        <x:v>46341</x:v>
      </x:c>
      <x:c r="F23" s="4" t="str">
        <x:v>Jared</x:v>
      </x:c>
      <x:c r="G23" s="4" t="n">
        <x:v>14</x:v>
      </x:c>
      <x:c r="H23" s="34" t="n">
        <x:v>0</x:v>
      </x:c>
      <x:c r="I23" s="4" t="str">
        <x:v>R11,R18</x:v>
      </x:c>
      <x:c r="J23" s="4" t="str">
        <x:v>95% of listed official destinations accessible on checks</x:v>
      </x:c>
      <x:c r="K23" s="4" t="str">
        <x:v>Expand useful inventory</x:v>
      </x:c>
      <x:c r="L23" s="4" t="str">
        <x:v>Not started</x:v>
      </x:c>
      <x:c r="M23" s="4" t="n">
        <x:v>4</x:v>
      </x:c>
      <x:c r="N23" s="4" t="n">
        <x:v>4</x:v>
      </x:c>
      <x:c r="O23" s="4" t="n">
        <x:v>4</x:v>
      </x:c>
      <x:c r="P23" s="46" t="n">
        <x:f>M23*N23/O23</x:f>
        <x:v>4</x:v>
      </x:c>
      <x:c r="Q23"/>
    </x:row>
    <x:row r="24" ht="32" customHeight="1">
      <x:c r="A24" s="4" t="str">
        <x:v>R23</x:v>
      </x:c>
      <x:c r="B24" s="4" t="str">
        <x:v>THANKSGIVING–CHRISTMAS</x:v>
      </x:c>
      <x:c r="C24" s="4" t="str">
        <x:v>Offer 3 measured local rental/lodging sponsor pilots</x:v>
      </x:c>
      <x:c r="D24" s="4" t="str">
        <x:v>Season</x:v>
      </x:c>
      <x:c r="E24" s="44" t="n">
        <x:v>46346</x:v>
      </x:c>
      <x:c r="F24" s="4" t="str">
        <x:v>Jared</x:v>
      </x:c>
      <x:c r="G24" s="4" t="n">
        <x:v>8</x:v>
      </x:c>
      <x:c r="H24" s="34" t="n">
        <x:v>0</x:v>
      </x:c>
      <x:c r="I24" s="4" t="str">
        <x:v>R17,R21; meaningful destination traffic</x:v>
      </x:c>
      <x:c r="J24" s="4" t="str">
        <x:v>2 paid pilots at $50–150/month target</x:v>
      </x:c>
      <x:c r="K24" s="4" t="str">
        <x:v>Test business willingness to pay</x:v>
      </x:c>
      <x:c r="L24" s="4" t="str">
        <x:v>Not started</x:v>
      </x:c>
      <x:c r="M24" s="4" t="n">
        <x:v>4</x:v>
      </x:c>
      <x:c r="N24" s="4" t="n">
        <x:v>4</x:v>
      </x:c>
      <x:c r="O24" s="4" t="n">
        <x:v>2</x:v>
      </x:c>
      <x:c r="P24" s="46" t="n">
        <x:f>M24*N24/O24</x:f>
        <x:v>8</x:v>
      </x:c>
      <x:c r="Q24"/>
    </x:row>
    <x:row r="25" ht="32" customHeight="1">
      <x:c r="A25" s="4" t="str">
        <x:v>R24</x:v>
      </x:c>
      <x:c r="B25" s="4" t="str">
        <x:v>THANKSGIVING–CHRISTMAS</x:v>
      </x:c>
      <x:c r="C25" s="4" t="str">
        <x:v>Thanksgiving readiness review and issue freeze</x:v>
      </x:c>
      <x:c r="D25" s="4" t="str">
        <x:v>Critical</x:v>
      </x:c>
      <x:c r="E25" s="44" t="n">
        <x:v>46349</x:v>
      </x:c>
      <x:c r="F25" s="4" t="str">
        <x:v>Jared</x:v>
      </x:c>
      <x:c r="G25" s="4" t="n">
        <x:v>4</x:v>
      </x:c>
      <x:c r="H25" s="34" t="n">
        <x:v>0</x:v>
      </x:c>
      <x:c r="I25" s="4" t="str">
        <x:v>R18,R22</x:v>
      </x:c>
      <x:c r="J25" s="4" t="str">
        <x:v>No critical broken source or privacy blocker</x:v>
      </x:c>
      <x:c r="K25" s="4" t="str">
        <x:v>Protect holiday acquisition</x:v>
      </x:c>
      <x:c r="L25" s="4" t="str">
        <x:v>Not started</x:v>
      </x:c>
      <x:c r="M25" s="4" t="n">
        <x:v>5</x:v>
      </x:c>
      <x:c r="N25" s="4" t="n">
        <x:v>4</x:v>
      </x:c>
      <x:c r="O25" s="4" t="n">
        <x:v>1</x:v>
      </x:c>
      <x:c r="P25" s="46" t="n">
        <x:f>M25*N25/O25</x:f>
        <x:v>20</x:v>
      </x:c>
      <x:c r="Q25"/>
    </x:row>
    <x:row r="26" ht="32" customHeight="1">
      <x:c r="A26" s="4" t="str">
        <x:v>R25</x:v>
      </x:c>
      <x:c r="B26" s="4" t="str">
        <x:v>THANKSGIVING–CHRISTMAS</x:v>
      </x:c>
      <x:c r="C26" s="4" t="str">
        <x:v>Publish holiday travel camera checklist and club sharing links</x:v>
      </x:c>
      <x:c r="D26" s="4" t="str">
        <x:v>Season</x:v>
      </x:c>
      <x:c r="E26" s="44" t="n">
        <x:v>46361</x:v>
      </x:c>
      <x:c r="F26" s="4" t="str">
        <x:v>Jared</x:v>
      </x:c>
      <x:c r="G26" s="4" t="n">
        <x:v>6</x:v>
      </x:c>
      <x:c r="H26" s="34" t="n">
        <x:v>100</x:v>
      </x:c>
      <x:c r="I26" s="4" t="str">
        <x:v>R14,R19</x:v>
      </x:c>
      <x:c r="J26" s="4" t="str">
        <x:v>300 qualified campaign visits target</x:v>
      </x:c>
      <x:c r="K26" s="4" t="str">
        <x:v>Match trip-planning demand</x:v>
      </x:c>
      <x:c r="L26" s="4" t="str">
        <x:v>Not started</x:v>
      </x:c>
      <x:c r="M26" s="4" t="n">
        <x:v>4</x:v>
      </x:c>
      <x:c r="N26" s="4" t="n">
        <x:v>4</x:v>
      </x:c>
      <x:c r="O26" s="4" t="n">
        <x:v>2</x:v>
      </x:c>
      <x:c r="P26" s="46" t="n">
        <x:f>M26*N26/O26</x:f>
        <x:v>8</x:v>
      </x:c>
      <x:c r="Q26"/>
    </x:row>
    <x:row r="27" ht="32" customHeight="1">
      <x:c r="A27" s="4" t="str">
        <x:v>R26</x:v>
      </x:c>
      <x:c r="B27" s="4" t="str">
        <x:v>THANKSGIVING–CHRISTMAS</x:v>
      </x:c>
      <x:c r="C27" s="4" t="str">
        <x:v>Review first booking approvals, returns and sponsor reports</x:v>
      </x:c>
      <x:c r="D27" s="4" t="str">
        <x:v>Season</x:v>
      </x:c>
      <x:c r="E27" s="44" t="n">
        <x:v>46371</x:v>
      </x:c>
      <x:c r="F27" s="4" t="str">
        <x:v>Jared</x:v>
      </x:c>
      <x:c r="G27" s="4" t="n">
        <x:v>4</x:v>
      </x:c>
      <x:c r="H27" s="34" t="n">
        <x:v>0</x:v>
      </x:c>
      <x:c r="I27" s="4" t="str">
        <x:v>R16,R23</x:v>
      </x:c>
      <x:c r="J27" s="4" t="str">
        <x:v>Earned commissions reconciled, not just clicks</x:v>
      </x:c>
      <x:c r="K27" s="4" t="str">
        <x:v>Validate cash economics</x:v>
      </x:c>
      <x:c r="L27" s="4" t="str">
        <x:v>Not started</x:v>
      </x:c>
      <x:c r="M27" s="4" t="n">
        <x:v>4</x:v>
      </x:c>
      <x:c r="N27" s="4" t="n">
        <x:v>4</x:v>
      </x:c>
      <x:c r="O27" s="4" t="n">
        <x:v>1</x:v>
      </x:c>
      <x:c r="P27" s="46" t="n">
        <x:f>M27*N27/O27</x:f>
        <x:v>16</x:v>
      </x:c>
      <x:c r="Q27"/>
    </x:row>
    <x:row r="28" ht="32" customHeight="1">
      <x:c r="A28" s="4" t="str">
        <x:v>R27</x:v>
      </x:c>
      <x:c r="B28" s="4" t="str">
        <x:v>THANKSGIVING–CHRISTMAS</x:v>
      </x:c>
      <x:c r="C28" s="4" t="str">
        <x:v>Decide whether alert prototype deserves a capped build</x:v>
      </x:c>
      <x:c r="D28" s="4" t="str">
        <x:v>Season</x:v>
      </x:c>
      <x:c r="E28" s="44" t="n">
        <x:v>46374</x:v>
      </x:c>
      <x:c r="F28" s="4" t="str">
        <x:v>Jared</x:v>
      </x:c>
      <x:c r="G28" s="4" t="n">
        <x:v>3</x:v>
      </x:c>
      <x:c r="H28" s="34" t="n">
        <x:v>0</x:v>
      </x:c>
      <x:c r="I28" s="4" t="str">
        <x:v>R20 + price interviews</x:v>
      </x:c>
      <x:c r="J28" s="4" t="str">
        <x:v>10 explicit paid commitments or stop</x:v>
      </x:c>
      <x:c r="K28" s="4" t="str">
        <x:v>Avoid unpaid feature expansion</x:v>
      </x:c>
      <x:c r="L28" s="4" t="str">
        <x:v>Not started</x:v>
      </x:c>
      <x:c r="M28" s="4" t="n">
        <x:v>4</x:v>
      </x:c>
      <x:c r="N28" s="4" t="n">
        <x:v>4</x:v>
      </x:c>
      <x:c r="O28" s="4" t="n">
        <x:v>1</x:v>
      </x:c>
      <x:c r="P28" s="46" t="n">
        <x:f>M28*N28/O28</x:f>
        <x:v>16</x:v>
      </x:c>
      <x:c r="Q28"/>
    </x:row>
    <x:row r="29" ht="32" customHeight="1">
      <x:c r="A29" s="4" t="str">
        <x:v>R28</x:v>
      </x:c>
      <x:c r="B29" s="4" t="str">
        <x:v>THANKSGIVING–CHRISTMAS</x:v>
      </x:c>
      <x:c r="C29" s="4" t="str">
        <x:v>Pre-holiday reliability/coverage sweep</x:v>
      </x:c>
      <x:c r="D29" s="4" t="str">
        <x:v>Critical</x:v>
      </x:c>
      <x:c r="E29" s="44" t="n">
        <x:v>46376</x:v>
      </x:c>
      <x:c r="F29" s="4" t="str">
        <x:v>Jared</x:v>
      </x:c>
      <x:c r="G29" s="4" t="n">
        <x:v>5</x:v>
      </x:c>
      <x:c r="H29" s="34" t="n">
        <x:v>0</x:v>
      </x:c>
      <x:c r="I29" s="4" t="str">
        <x:v>All camera records</x:v>
      </x:c>
      <x:c r="J29" s="4" t="str">
        <x:v>All active pages checked; holiday on-call owner named</x:v>
      </x:c>
      <x:c r="K29" s="4" t="str">
        <x:v>Keep Christmas visitors from dead ends</x:v>
      </x:c>
      <x:c r="L29" s="4" t="str">
        <x:v>Not started</x:v>
      </x:c>
      <x:c r="M29" s="4" t="n">
        <x:v>5</x:v>
      </x:c>
      <x:c r="N29" s="4" t="n">
        <x:v>4</x:v>
      </x:c>
      <x:c r="O29" s="4" t="n">
        <x:v>2</x:v>
      </x:c>
      <x:c r="P29" s="46" t="n">
        <x:f>M29*N29/O29</x:f>
        <x:v>10</x:v>
      </x:c>
      <x:c r="Q29"/>
    </x:row>
    <x:row r="30" ht="32" customHeight="1">
      <x:c r="A30" s="4" t="str">
        <x:v>R29</x:v>
      </x:c>
      <x:c r="B30" s="4" t="str">
        <x:v>JANUARY–FEBRUARY</x:v>
      </x:c>
      <x:c r="C30" s="4" t="str">
        <x:v>Renew successful sponsors; stop those with no attributed value</x:v>
      </x:c>
      <x:c r="D30" s="4" t="str">
        <x:v>Season</x:v>
      </x:c>
      <x:c r="E30" s="44" t="n">
        <x:v>46402</x:v>
      </x:c>
      <x:c r="F30" s="4" t="str">
        <x:v>Jared</x:v>
      </x:c>
      <x:c r="G30" s="4" t="n">
        <x:v>5</x:v>
      </x:c>
      <x:c r="H30" s="34" t="n">
        <x:v>0</x:v>
      </x:c>
      <x:c r="I30" s="4" t="str">
        <x:v>R26</x:v>
      </x:c>
      <x:c r="J30" s="4" t="str">
        <x:v>At least half of eligible pilot partners renew target</x:v>
      </x:c>
      <x:c r="K30" s="4" t="str">
        <x:v>Find evidence beyond friendly first sales</x:v>
      </x:c>
      <x:c r="L30" s="4" t="str">
        <x:v>Not started</x:v>
      </x:c>
      <x:c r="M30" s="4" t="n">
        <x:v>4</x:v>
      </x:c>
      <x:c r="N30" s="4" t="n">
        <x:v>3</x:v>
      </x:c>
      <x:c r="O30" s="4" t="n">
        <x:v>2</x:v>
      </x:c>
      <x:c r="P30" s="46" t="n">
        <x:f>M30*N30/O30</x:f>
        <x:v>6</x:v>
      </x:c>
      <x:c r="Q30"/>
    </x:row>
    <x:row r="31" ht="32" customHeight="1">
      <x:c r="A31" s="4" t="str">
        <x:v>R30</x:v>
      </x:c>
      <x:c r="B31" s="4" t="str">
        <x:v>JANUARY–FEBRUARY</x:v>
      </x:c>
      <x:c r="C31" s="4" t="str">
        <x:v>Expand one adjacent corridor only with rights and user demand</x:v>
      </x:c>
      <x:c r="D31" s="4" t="str">
        <x:v>Season</x:v>
      </x:c>
      <x:c r="E31" s="44" t="n">
        <x:v>46418</x:v>
      </x:c>
      <x:c r="F31" s="4" t="str">
        <x:v>Jared</x:v>
      </x:c>
      <x:c r="G31" s="4" t="n">
        <x:v>20</x:v>
      </x:c>
      <x:c r="H31" s="34" t="n">
        <x:v>300</x:v>
      </x:c>
      <x:c r="I31" s="4" t="str">
        <x:v>R22; &gt;25% 28-day return target</x:v>
      </x:c>
      <x:c r="J31" s="4" t="str">
        <x:v>Adjacent cohort performs within 20% of core corridor</x:v>
      </x:c>
      <x:c r="K31" s="4" t="str">
        <x:v>Avoid national maintenance sprawl</x:v>
      </x:c>
      <x:c r="L31" s="4" t="str">
        <x:v>Not started</x:v>
      </x:c>
      <x:c r="M31" s="4" t="n">
        <x:v>4</x:v>
      </x:c>
      <x:c r="N31" s="4" t="n">
        <x:v>3</x:v>
      </x:c>
      <x:c r="O31" s="4" t="n">
        <x:v>5</x:v>
      </x:c>
      <x:c r="P31" s="46" t="n">
        <x:f>M31*N31/O31</x:f>
        <x:v>2.4</x:v>
      </x:c>
      <x:c r="Q31"/>
    </x:row>
    <x:row r="32" ht="32" customHeight="1">
      <x:c r="A32" s="4" t="str">
        <x:v>R31</x:v>
      </x:c>
      <x:c r="B32" s="4" t="str">
        <x:v>JANUARY–FEBRUARY</x:v>
      </x:c>
      <x:c r="C32" s="4" t="str">
        <x:v>Evaluate selective display ads versus speed and return visits</x:v>
      </x:c>
      <x:c r="D32" s="4" t="str">
        <x:v>Later</x:v>
      </x:c>
      <x:c r="E32" s="44" t="n">
        <x:v>46423</x:v>
      </x:c>
      <x:c r="F32" s="4" t="str">
        <x:v>Jared</x:v>
      </x:c>
      <x:c r="G32" s="4" t="n">
        <x:v>6</x:v>
      </x:c>
      <x:c r="H32" s="34" t="n">
        <x:v>0</x:v>
      </x:c>
      <x:c r="I32" s="4" t="str">
        <x:v>Eligibility, content quality, &gt;10k MAU planning gate</x:v>
      </x:c>
      <x:c r="J32" s="4" t="str">
        <x:v>Positive incremental contribution; retention not materially lower</x:v>
      </x:c>
      <x:c r="K32" s="4" t="str">
        <x:v>Add scalable low-touch revenue carefully</x:v>
      </x:c>
      <x:c r="L32" s="4" t="str">
        <x:v>Not started</x:v>
      </x:c>
      <x:c r="M32" s="4" t="n">
        <x:v>2</x:v>
      </x:c>
      <x:c r="N32" s="4" t="n">
        <x:v>3</x:v>
      </x:c>
      <x:c r="O32" s="4" t="n">
        <x:v>2</x:v>
      </x:c>
      <x:c r="P32" s="46" t="n">
        <x:f>M32*N32/O32</x:f>
        <x:v>3</x:v>
      </x:c>
      <x:c r="Q32"/>
    </x:row>
    <x:row r="33" ht="32" customHeight="1">
      <x:c r="A33" s="4" t="str">
        <x:v>R32</x:v>
      </x:c>
      <x:c r="B33" s="4" t="str">
        <x:v>JANUARY–FEBRUARY</x:v>
      </x:c>
      <x:c r="C33" s="4" t="str">
        <x:v>Run retained-user research and willingness-to-pay revisit</x:v>
      </x:c>
      <x:c r="D33" s="4" t="str">
        <x:v>Season</x:v>
      </x:c>
      <x:c r="E33" s="44" t="n">
        <x:v>46438</x:v>
      </x:c>
      <x:c r="F33" s="4" t="str">
        <x:v>Jared</x:v>
      </x:c>
      <x:c r="G33" s="4" t="n">
        <x:v>8</x:v>
      </x:c>
      <x:c r="H33" s="34" t="n">
        <x:v>100</x:v>
      </x:c>
      <x:c r="I33" s="4" t="str">
        <x:v>At least 100 measured repeat users</x:v>
      </x:c>
      <x:c r="J33" s="4" t="str">
        <x:v>Top paid job validated or Pro shelved</x:v>
      </x:c>
      <x:c r="K33" s="4" t="str">
        <x:v>Let real behavior set product priorities</x:v>
      </x:c>
      <x:c r="L33" s="4" t="str">
        <x:v>Not started</x:v>
      </x:c>
      <x:c r="M33" s="4" t="n">
        <x:v>4</x:v>
      </x:c>
      <x:c r="N33" s="4" t="n">
        <x:v>3</x:v>
      </x:c>
      <x:c r="O33" s="4" t="n">
        <x:v>2</x:v>
      </x:c>
      <x:c r="P33" s="46" t="n">
        <x:f>M33*N33/O33</x:f>
        <x:v>6</x:v>
      </x:c>
      <x:c r="Q33"/>
    </x:row>
    <x:row r="34" ht="32" customHeight="1">
      <x:c r="A34" s="4" t="str">
        <x:v>R33</x:v>
      </x:c>
      <x:c r="B34" s="4" t="str">
        <x:v>MARCH–APRIL</x:v>
      </x:c>
      <x:c r="C34" s="4" t="str">
        <x:v>Promote spring operating schedules and permitted late-season cameras</x:v>
      </x:c>
      <x:c r="D34" s="4" t="str">
        <x:v>Season</x:v>
      </x:c>
      <x:c r="E34" s="44" t="n">
        <x:v>46456</x:v>
      </x:c>
      <x:c r="F34" s="4" t="str">
        <x:v>Jared</x:v>
      </x:c>
      <x:c r="G34" s="4" t="n">
        <x:v>8</x:v>
      </x:c>
      <x:c r="H34" s="34" t="n">
        <x:v>100</x:v>
      </x:c>
      <x:c r="I34" s="4" t="str">
        <x:v>Current official dates, not guessed schedules</x:v>
      </x:c>
      <x:c r="J34" s="4" t="str">
        <x:v>Weekly spring return cohort maintained</x:v>
      </x:c>
      <x:c r="K34" s="4" t="str">
        <x:v>Extend useful season</x:v>
      </x:c>
      <x:c r="L34" s="4" t="str">
        <x:v>Not started</x:v>
      </x:c>
      <x:c r="M34" s="4" t="n">
        <x:v>4</x:v>
      </x:c>
      <x:c r="N34" s="4" t="n">
        <x:v>3</x:v>
      </x:c>
      <x:c r="O34" s="4" t="n">
        <x:v>2</x:v>
      </x:c>
      <x:c r="P34" s="46" t="n">
        <x:f>M34*N34/O34</x:f>
        <x:v>6</x:v>
      </x:c>
      <x:c r="Q34"/>
    </x:row>
    <x:row r="35" ht="32" customHeight="1">
      <x:c r="A35" s="4" t="str">
        <x:v>R34</x:v>
      </x:c>
      <x:c r="B35" s="4" t="str">
        <x:v>MARCH–APRIL</x:v>
      </x:c>
      <x:c r="C35" s="4" t="str">
        <x:v>Negotiate next-season permission renewals and sponsor early commitments</x:v>
      </x:c>
      <x:c r="D35" s="4" t="str">
        <x:v>Season</x:v>
      </x:c>
      <x:c r="E35" s="44" t="n">
        <x:v>46477</x:v>
      </x:c>
      <x:c r="F35" s="4" t="str">
        <x:v>Jared</x:v>
      </x:c>
      <x:c r="G35" s="4" t="n">
        <x:v>8</x:v>
      </x:c>
      <x:c r="H35" s="34" t="n">
        <x:v>0</x:v>
      </x:c>
      <x:c r="I35" s="4" t="str">
        <x:v>R29</x:v>
      </x:c>
      <x:c r="J35" s="4" t="str">
        <x:v>3 written next-season commitments target</x:v>
      </x:c>
      <x:c r="K35" s="4" t="str">
        <x:v>Reduce next September scramble</x:v>
      </x:c>
      <x:c r="L35" s="4" t="str">
        <x:v>Not started</x:v>
      </x:c>
      <x:c r="M35" s="4" t="n">
        <x:v>4</x:v>
      </x:c>
      <x:c r="N35" s="4" t="n">
        <x:v>3</x:v>
      </x:c>
      <x:c r="O35" s="4" t="n">
        <x:v>2</x:v>
      </x:c>
      <x:c r="P35" s="46" t="n">
        <x:f>M35*N35/O35</x:f>
        <x:v>6</x:v>
      </x:c>
      <x:c r="Q35"/>
    </x:row>
    <x:row r="36" ht="32" customHeight="1">
      <x:c r="A36" s="4" t="str">
        <x:v>R35</x:v>
      </x:c>
      <x:c r="B36" s="4" t="str">
        <x:v>MARCH–APRIL</x:v>
      </x:c>
      <x:c r="C36" s="4" t="str">
        <x:v>Season close: reconcile cash, retention, contracts and permission expiry</x:v>
      </x:c>
      <x:c r="D36" s="4" t="str">
        <x:v>Critical</x:v>
      </x:c>
      <x:c r="E36" s="44" t="n">
        <x:v>46507</x:v>
      </x:c>
      <x:c r="F36" s="4" t="str">
        <x:v>Jared</x:v>
      </x:c>
      <x:c r="G36" s="4" t="n">
        <x:v>10</x:v>
      </x:c>
      <x:c r="H36" s="34" t="n">
        <x:v>250</x:v>
      </x:c>
      <x:c r="I36" s="4" t="str">
        <x:v>Complete source/finance records</x:v>
      </x:c>
      <x:c r="J36" s="4" t="str">
        <x:v>Document continue/pivot/stop decision with actual evidence</x:v>
      </x:c>
      <x:c r="K36" s="4" t="str">
        <x:v>Avoid subsidizing an unproven hobby indefinitely</x:v>
      </x:c>
      <x:c r="L36" s="4" t="str">
        <x:v>Not started</x:v>
      </x:c>
      <x:c r="M36" s="4" t="n">
        <x:v>5</x:v>
      </x:c>
      <x:c r="N36" s="4" t="n">
        <x:v>3</x:v>
      </x:c>
      <x:c r="O36" s="4" t="n">
        <x:v>3</x:v>
      </x:c>
      <x:c r="P36" s="46" t="n">
        <x:f>M36*N36/O36</x:f>
        <x:v>5</x:v>
      </x:c>
      <x:c r="Q36"/>
    </x:row>
    <x:row r="37" ht="32" customHeight="1">
      <x:c r="A37" s="4" t="str">
        <x:v>R36</x:v>
      </x:c>
      <x:c r="B37" s="4" t="str">
        <x:v>MARCH–APRIL</x:v>
      </x:c>
      <x:c r="C37" s="4" t="str">
        <x:v>Choose narrow summer maintenance or one summer-camera experiment</x:v>
      </x:c>
      <x:c r="D37" s="4" t="str">
        <x:v>Later</x:v>
      </x:c>
      <x:c r="E37" s="44" t="n">
        <x:v>46507</x:v>
      </x:c>
      <x:c r="F37" s="4" t="str">
        <x:v>Jared</x:v>
      </x:c>
      <x:c r="G37" s="4" t="n">
        <x:v>3</x:v>
      </x:c>
      <x:c r="H37" s="34" t="n">
        <x:v>0</x:v>
      </x:c>
      <x:c r="I37" s="4" t="str">
        <x:v>R35</x:v>
      </x:c>
      <x:c r="J37" s="4" t="str">
        <x:v>Fixed cost cap and maintenance owner set</x:v>
      </x:c>
      <x:c r="K37" s="4" t="str">
        <x:v>Preserve runway through seasonality</x:v>
      </x:c>
      <x:c r="L37" s="4" t="str">
        <x:v>Not started</x:v>
      </x:c>
      <x:c r="M37" s="4" t="n">
        <x:v>2</x:v>
      </x:c>
      <x:c r="N37" s="4" t="n">
        <x:v>3</x:v>
      </x:c>
      <x:c r="O37" s="4" t="n">
        <x:v>1</x:v>
      </x:c>
      <x:c r="P37" s="46" t="n">
        <x:f>M37*N37/O37</x:f>
        <x:v>6</x:v>
      </x:c>
      <x:c r="Q37"/>
    </x:row>
  </x:sheetData>
  <x:dataValidations count="2">
    <x:dataValidation type="list" sqref="M2:M37">
      <x:formula1>"1,2,3,4,5"</x:formula1>
    </x:dataValidation>
    <x:dataValidation type="list" sqref="L2:L37">
      <x:formula1>"Not started,In progress,Blocked,Done,Stopped"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1de52e91edf47b0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45" hidden="0" customWidth="1"/>
    <x:col min="4" max="4" width="22" hidden="0" customWidth="1"/>
    <x:col min="5" max="5" width="22" hidden="0" customWidth="1"/>
    <x:col min="6" max="6" width="22" hidden="0" customWidth="1"/>
    <x:col min="7" max="7" width="50" hidden="0" customWidth="1"/>
    <x:col min="8" max="8" width="50" hidden="0" customWidth="1"/>
    <x:col min="9" max="9" width="22" hidden="0" customWidth="1"/>
    <x:col min="10" max="10" width="22" hidden="0" customWidth="1"/>
    <x:col min="11" max="11" width="22" hidden="0" customWidth="1"/>
  </x:cols>
  <x:sheetData>
    <x:row r="1" ht="42" customHeight="1">
      <x:c r="A1" s="9" t="str">
        <x:v>ID</x:v>
      </x:c>
      <x:c r="B1" s="9" t="str">
        <x:v>Category</x:v>
      </x:c>
      <x:c r="C1" s="9" t="str">
        <x:v>Risk</x:v>
      </x:c>
      <x:c r="D1" s="9" t="str">
        <x:v>Probability</x:v>
      </x:c>
      <x:c r="E1" s="9" t="str">
        <x:v>Impact</x:v>
      </x:c>
      <x:c r="F1" s="9" t="str">
        <x:v>Score</x:v>
      </x:c>
      <x:c r="G1" s="9" t="str">
        <x:v>Current_exposure</x:v>
      </x:c>
      <x:c r="H1" s="9" t="str">
        <x:v>Mitigation</x:v>
      </x:c>
      <x:c r="I1" s="9" t="str">
        <x:v>Attorney_review</x:v>
      </x:c>
      <x:c r="J1" s="9" t="str">
        <x:v>Trigger</x:v>
      </x:c>
      <x:c r="K1" s="9" t="str">
        <x:v>Owner</x:v>
      </x:c>
    </x:row>
    <x:row r="2" ht="32" customHeight="1">
      <x:c r="A2" s="4" t="str">
        <x:v>K01</x:v>
      </x:c>
      <x:c r="B2" s="4" t="str">
        <x:v>Copyright</x:v>
      </x:c>
      <x:c r="C2" s="4" t="str">
        <x:v>Unlicensed local resort photos/thumbnails</x:v>
      </x:c>
      <x:c r="D2" s="4" t="n">
        <x:v>4</x:v>
      </x:c>
      <x:c r="E2" s="4" t="n">
        <x:v>5</x:v>
      </x:c>
      <x:c r="F2" s="4" t="n">
        <x:f>D2*E2</x:f>
        <x:v>20</x:v>
      </x:c>
      <x:c r="G2" s="4" t="str">
        <x:v>Local image paths observed; ownership or licenses not supplied</x:v>
      </x:c>
      <x:c r="H2" s="4" t="str">
        <x:v>Inventory each asset; remove unknown provenance; obtain written web/marketing reuse scope</x:v>
      </x:c>
      <x:c r="I2" s="4" t="str">
        <x:v>Yes</x:v>
      </x:c>
      <x:c r="J2" s="4" t="str">
        <x:v>Before using any asset commercially</x:v>
      </x:c>
      <x:c r="K2" s="4" t="str">
        <x:v>Jared</x:v>
      </x:c>
    </x:row>
    <x:row r="3" ht="32" customHeight="1">
      <x:c r="A3" s="4" t="str">
        <x:v>K02</x:v>
      </x:c>
      <x:c r="B3" s="4" t="str">
        <x:v>Content licensing</x:v>
      </x:c>
      <x:c r="C3" s="4" t="str">
        <x:v>Assuming an accessible embed means commercial permission</x:v>
      </x:c>
      <x:c r="D3" s="4" t="n">
        <x:v>4</x:v>
      </x:c>
      <x:c r="E3" s="4" t="n">
        <x:v>5</x:v>
      </x:c>
      <x:c r="F3" s="4" t="n">
        <x:f>D3*E3</x:f>
        <x:v>20</x:v>
      </x:c>
      <x:c r="G3" s="4" t="str">
        <x:v>Iframe/image modes exist; no licenses reviewed</x:v>
      </x:c>
      <x:c r="H3" s="4" t="str">
        <x:v>Use official link fallback; obtain provider AND rights-holder permission; preserve attribution</x:v>
      </x:c>
      <x:c r="I3" s="4" t="str">
        <x:v>Yes</x:v>
      </x:c>
      <x:c r="J3" s="4" t="str">
        <x:v>Before new embedded source</x:v>
      </x:c>
      <x:c r="K3" s="4" t="str">
        <x:v>Jared</x:v>
      </x:c>
    </x:row>
    <x:row r="4" ht="32" customHeight="1">
      <x:c r="A4" s="4" t="str">
        <x:v>K03</x:v>
      </x:c>
      <x:c r="B4" s="4" t="str">
        <x:v>Product trust</x:v>
      </x:c>
      <x:c r="C4" s="4" t="str">
        <x:v>Placeholder camera URLs appear as real inventory</x:v>
      </x:c>
      <x:c r="D4" s="4" t="n">
        <x:v>5</x:v>
      </x:c>
      <x:c r="E4" s="4" t="n">
        <x:v>4</x:v>
      </x:c>
      <x:c r="F4" s="4" t="n">
        <x:f>D4*E4</x:f>
        <x:v>20</x:v>
      </x:c>
      <x:c r="G4" s="4" t="str">
        <x:v>Two Breckenridge placeholder embed URLs in catalog</x:v>
      </x:c>
      <x:c r="H4" s="4" t="str">
        <x:v>Remove/hide immediately; schema validation rejects example/placeholder domains</x:v>
      </x:c>
      <x:c r="I4" s="4" t="str">
        <x:v>No</x:v>
      </x:c>
      <x:c r="J4" s="4" t="str">
        <x:v>Now</x:v>
      </x:c>
      <x:c r="K4" s="4" t="str">
        <x:v>Jared</x:v>
      </x:c>
    </x:row>
    <x:row r="5" ht="32" customHeight="1">
      <x:c r="A5" s="4" t="str">
        <x:v>K04</x:v>
      </x:c>
      <x:c r="B5" s="4" t="str">
        <x:v>Platform dependency</x:v>
      </x:c>
      <x:c r="C5" s="4" t="str">
        <x:v>Provider/resort revokes feed or changes URL</x:v>
      </x:c>
      <x:c r="D5" s="4" t="n">
        <x:v>4</x:v>
      </x:c>
      <x:c r="E5" s="4" t="n">
        <x:v>4</x:v>
      </x:c>
      <x:c r="F5" s="4" t="n">
        <x:f>D5*E5</x:f>
        <x:v>16</x:v>
      </x:c>
      <x:c r="G5" s="4" t="str">
        <x:v>Static curated links and embeds depend on external hosts</x:v>
      </x:c>
      <x:c r="H5" s="4" t="str">
        <x:v>Owner/source registry, quick disable, official fallback, weekly checks</x:v>
      </x:c>
      <x:c r="I5" s="4" t="str">
        <x:v>Yes for license</x:v>
      </x:c>
      <x:c r="J5" s="4" t="str">
        <x:v>Any outage/complaint</x:v>
      </x:c>
      <x:c r="K5" s="4" t="str">
        <x:v>Jared</x:v>
      </x:c>
    </x:row>
    <x:row r="6" ht="32" customHeight="1">
      <x:c r="A6" s="4" t="str">
        <x:v>K05</x:v>
      </x:c>
      <x:c r="B6" s="4" t="str">
        <x:v>Copyright</x:v>
      </x:c>
      <x:c r="C6" s="4" t="str">
        <x:v>Screenshots, timelapses or social clips exceed website-only rights</x:v>
      </x:c>
      <x:c r="D6" s="4" t="n">
        <x:v>4</x:v>
      </x:c>
      <x:c r="E6" s="4" t="n">
        <x:v>5</x:v>
      </x:c>
      <x:c r="F6" s="4" t="n">
        <x:f>D6*E6</x:f>
        <x:v>20</x:v>
      </x:c>
      <x:c r="G6" s="4" t="str">
        <x:v>Not observed as current feature; high future exposure</x:v>
      </x:c>
      <x:c r="H6" s="4" t="str">
        <x:v>Separate rights for still capture, storage, transformations, social and sponsored use</x:v>
      </x:c>
      <x:c r="I6" s="4" t="str">
        <x:v>Yes</x:v>
      </x:c>
      <x:c r="J6" s="4" t="str">
        <x:v>Before first marketing clip</x:v>
      </x:c>
      <x:c r="K6" s="4" t="str">
        <x:v>Jared</x:v>
      </x:c>
    </x:row>
    <x:row r="7" ht="32" customHeight="1">
      <x:c r="A7" s="4" t="str">
        <x:v>K06</x:v>
      </x:c>
      <x:c r="B7" s="4" t="str">
        <x:v>Security</x:v>
      </x:c>
      <x:c r="C7" s="4" t="str">
        <x:v>Third-party iframe/image tracks visitors or serves harmful content</x:v>
      </x:c>
      <x:c r="D7" s="4" t="n">
        <x:v>3</x:v>
      </x:c>
      <x:c r="E7" s="4" t="n">
        <x:v>4</x:v>
      </x:c>
      <x:c r="F7" s="4" t="n">
        <x:f>D7*E7</x:f>
        <x:v>12</x:v>
      </x:c>
      <x:c r="G7" s="4" t="str">
        <x:v>External iframe/image rendering observed</x:v>
      </x:c>
      <x:c r="H7" s="4" t="str">
        <x:v>Allowlist hosts, deliberate sandbox/CSP, click-to-load when appropriate, disclose third parties</x:v>
      </x:c>
      <x:c r="I7" s="4" t="str">
        <x:v>Yes privacy</x:v>
      </x:c>
      <x:c r="J7" s="4" t="str">
        <x:v>New provider or CSP violation</x:v>
      </x:c>
      <x:c r="K7" s="4" t="str">
        <x:v>Jared</x:v>
      </x:c>
    </x:row>
    <x:row r="8" ht="32" customHeight="1">
      <x:c r="A8" s="4" t="str">
        <x:v>K07</x:v>
      </x:c>
      <x:c r="B8" s="4" t="str">
        <x:v>Privacy</x:v>
      </x:c>
      <x:c r="C8" s="4" t="str">
        <x:v>Analytics/cookies without accurate disclosure or required opt-outs</x:v>
      </x:c>
      <x:c r="D8" s="4" t="n">
        <x:v>3</x:v>
      </x:c>
      <x:c r="E8" s="4" t="n">
        <x:v>4</x:v>
      </x:c>
      <x:c r="F8" s="4" t="n">
        <x:f>D8*E8</x:f>
        <x:v>12</x:v>
      </x:c>
      <x:c r="G8" s="4" t="str">
        <x:v>Instrumentation observed; policy contents and consent settings unverified</x:v>
      </x:c>
      <x:c r="H8" s="4" t="str">
        <x:v>Map actual tags/data/regions; retention limits; honor applicable opt-out signals; validate consent controls</x:v>
      </x:c>
      <x:c r="I8" s="4" t="str">
        <x:v>Yes</x:v>
      </x:c>
      <x:c r="J8" s="4" t="str">
        <x:v>Before adding ad tech</x:v>
      </x:c>
      <x:c r="K8" s="4" t="str">
        <x:v>Jared</x:v>
      </x:c>
    </x:row>
    <x:row r="9" ht="32" customHeight="1">
      <x:c r="A9" s="4" t="str">
        <x:v>K08</x:v>
      </x:c>
      <x:c r="B9" s="4" t="str">
        <x:v>Financial</x:v>
      </x:c>
      <x:c r="C9" s="4" t="str">
        <x:v>Demand too small or low-intent to fund founder time</x:v>
      </x:c>
      <x:c r="D9" s="4" t="n">
        <x:v>4</x:v>
      </x:c>
      <x:c r="E9" s="4" t="n">
        <x:v>4</x:v>
      </x:c>
      <x:c r="F9" s="4" t="n">
        <x:f>D9*E9</x:f>
        <x:v>16</x:v>
      </x:c>
      <x:c r="G9" s="4" t="str">
        <x:v>No verified traffic or revenue baseline</x:v>
      </x:c>
      <x:c r="H9" s="4" t="str">
        <x:v>Cost cap; 30-day retention cohorts; cancel weak spend; explicit April decision</x:v>
      </x:c>
      <x:c r="I9" s="4" t="str">
        <x:v>No</x:v>
      </x:c>
      <x:c r="J9" s="4" t="str">
        <x:v>Two monthly missed gates</x:v>
      </x:c>
      <x:c r="K9" s="4" t="str">
        <x:v>Jared</x:v>
      </x:c>
    </x:row>
    <x:row r="10" ht="32" customHeight="1">
      <x:c r="A10" s="4" t="str">
        <x:v>K09</x:v>
      </x:c>
      <x:c r="B10" s="4" t="str">
        <x:v>Seasonality</x:v>
      </x:c>
      <x:c r="C10" s="4" t="str">
        <x:v>Warm winter / late openings / short season</x:v>
      </x:c>
      <x:c r="D10" s="4" t="n">
        <x:v>4</x:v>
      </x:c>
      <x:c r="E10" s="4" t="n">
        <x:v>4</x:v>
      </x:c>
      <x:c r="F10" s="4" t="n">
        <x:f>D10*E10</x:f>
        <x:v>16</x:v>
      </x:c>
      <x:c r="G10" s="4" t="str">
        <x:v>Outdoor winter utility; opening dates weather dependent</x:v>
      </x:c>
      <x:c r="H10" s="4" t="str">
        <x:v>Avoid fixed sponsorship guarantees; seasonal contracts, cash reserve and low summer burn</x:v>
      </x:c>
      <x:c r="I10" s="4" t="str">
        <x:v>No</x:v>
      </x:c>
      <x:c r="J10" s="4" t="str">
        <x:v>Delayed opening or traffic shock</x:v>
      </x:c>
      <x:c r="K10" s="4" t="str">
        <x:v>Jared</x:v>
      </x:c>
    </x:row>
    <x:row r="11" ht="32" customHeight="1">
      <x:c r="A11" s="4" t="str">
        <x:v>K10</x:v>
      </x:c>
      <x:c r="B11" s="4" t="str">
        <x:v>SEO</x:v>
      </x:c>
      <x:c r="C11" s="4" t="str">
        <x:v>Thin duplicate programmatic pages never index or lose rankings</x:v>
      </x:c>
      <x:c r="D11" s="4" t="n">
        <x:v>4</x:v>
      </x:c>
      <x:c r="E11" s="4" t="n">
        <x:v>4</x:v>
      </x:c>
      <x:c r="F11" s="4" t="n">
        <x:f>D11*E11</x:f>
        <x:v>16</x:v>
      </x:c>
      <x:c r="G11" s="4" t="str">
        <x:v>Small catalog; future scale could create low-value pages</x:v>
      </x:c>
      <x:c r="H11" s="4" t="str">
        <x:v>Publish only verified useful pages; consolidate duplicate intent; diversify clubs/direct</x:v>
      </x:c>
      <x:c r="I11" s="4" t="str">
        <x:v>No</x:v>
      </x:c>
      <x:c r="J11" s="4" t="str">
        <x:v>Coverage/indexation audit</x:v>
      </x:c>
      <x:c r="K11" s="4" t="str">
        <x:v>Jared</x:v>
      </x:c>
    </x:row>
    <x:row r="12" ht="32" customHeight="1">
      <x:c r="A12" s="4" t="str">
        <x:v>K11</x:v>
      </x:c>
      <x:c r="B12" s="4" t="str">
        <x:v>SEO</x:v>
      </x:c>
      <x:c r="C12" s="4" t="str">
        <x:v>Dependence on one search platform</x:v>
      </x:c>
      <x:c r="D12" s="4" t="n">
        <x:v>4</x:v>
      </x:c>
      <x:c r="E12" s="4" t="n">
        <x:v>4</x:v>
      </x:c>
      <x:c r="F12" s="4" t="n">
        <x:f>D12*E12</x:f>
        <x:v>16</x:v>
      </x:c>
      <x:c r="G12" s="4" t="str">
        <x:v>Acquisition mix unknown</x:v>
      </x:c>
      <x:c r="H12" s="4" t="str">
        <x:v>Build direct bookmarks, clubs and opted-in updates; measure non-search returning users</x:v>
      </x:c>
      <x:c r="I12" s="4" t="str">
        <x:v>No</x:v>
      </x:c>
      <x:c r="J12" s="4" t="str">
        <x:v>&gt;70% acquisition from one source</x:v>
      </x:c>
      <x:c r="K12" s="4" t="str">
        <x:v>Jared</x:v>
      </x:c>
    </x:row>
    <x:row r="13" ht="32" customHeight="1">
      <x:c r="A13" s="4" t="str">
        <x:v>K12</x:v>
      </x:c>
      <x:c r="B13" s="4" t="str">
        <x:v>Competition</x:v>
      </x:c>
      <x:c r="C13" s="4" t="str">
        <x:v>Incumbents already offer free cameras/favorites/alerts</x:v>
      </x:c>
      <x:c r="D13" s="4" t="n">
        <x:v>5</x:v>
      </x:c>
      <x:c r="E13" s="4" t="n">
        <x:v>3</x:v>
      </x:c>
      <x:c r="F13" s="4" t="n">
        <x:f>D13*E13</x:f>
        <x:v>15</x:v>
      </x:c>
      <x:c r="G13" s="4" t="str">
        <x:v>Verified competitor capabilities overlap</x:v>
      </x:c>
      <x:c r="H13" s="4" t="str">
        <x:v>Win speed, reliability and corridor focus; do not rebuild forecast incumbent</x:v>
      </x:c>
      <x:c r="I13" s="4" t="str">
        <x:v>No</x:v>
      </x:c>
      <x:c r="J13" s="4" t="str">
        <x:v>Positioning interview quarterly</x:v>
      </x:c>
      <x:c r="K13" s="4" t="str">
        <x:v>Jared</x:v>
      </x:c>
    </x:row>
    <x:row r="14" ht="32" customHeight="1">
      <x:c r="A14" s="4" t="str">
        <x:v>K13</x:v>
      </x:c>
      <x:c r="B14" s="4" t="str">
        <x:v>Financial</x:v>
      </x:c>
      <x:c r="C14" s="4" t="str">
        <x:v>Bandwidth, analytics or compute spike after traffic jump</x:v>
      </x:c>
      <x:c r="D14" s="4" t="n">
        <x:v>3</x:v>
      </x:c>
      <x:c r="E14" s="4" t="n">
        <x:v>4</x:v>
      </x:c>
      <x:c r="F14" s="4" t="n">
        <x:f>D14*E14</x:f>
        <x:v>12</x:v>
      </x:c>
      <x:c r="G14" s="4" t="str">
        <x:v>Static link-first mode low delivery exposure; actual plan unknown</x:v>
      </x:c>
      <x:c r="H14" s="4" t="str">
        <x:v>Commercial plan; spend alerts; bot limits; avoid video proxy; verify team-wide CDN tier</x:v>
      </x:c>
      <x:c r="I14" s="4" t="str">
        <x:v>No</x:v>
      </x:c>
      <x:c r="J14" s="4" t="str">
        <x:v>50/80/100% of monthly budget</x:v>
      </x:c>
      <x:c r="K14" s="4" t="str">
        <x:v>Jared</x:v>
      </x:c>
    </x:row>
    <x:row r="15" ht="32" customHeight="1">
      <x:c r="A15" s="4" t="str">
        <x:v>K14</x:v>
      </x:c>
      <x:c r="B15" s="4" t="str">
        <x:v>Data licensing</x:v>
      </x:c>
      <x:c r="C15" s="4" t="str">
        <x:v>Weather API free tier used commercially or redistribution exceeds terms</x:v>
      </x:c>
      <x:c r="D15" s="4" t="n">
        <x:v>3</x:v>
      </x:c>
      <x:c r="E15" s="4" t="n">
        <x:v>4</x:v>
      </x:c>
      <x:c r="F15" s="4" t="n">
        <x:f>D15*E15</x:f>
        <x:v>12</x:v>
      </x:c>
      <x:c r="G15" s="4" t="str">
        <x:v>No weather API observed; future risk</x:v>
      </x:c>
      <x:c r="H15" s="4" t="str">
        <x:v>No API spend now; quote commercial caching and display rights before integration</x:v>
      </x:c>
      <x:c r="I15" s="4" t="str">
        <x:v>Yes for contract</x:v>
      </x:c>
      <x:c r="J15" s="4" t="str">
        <x:v>Before weather feature</x:v>
      </x:c>
      <x:c r="K15" s="4" t="str">
        <x:v>Jared</x:v>
      </x:c>
    </x:row>
    <x:row r="16" ht="32" customHeight="1">
      <x:c r="A16" s="4" t="str">
        <x:v>K15</x:v>
      </x:c>
      <x:c r="B16" s="4" t="str">
        <x:v>Consumer protection</x:v>
      </x:c>
      <x:c r="C16" s="4" t="str">
        <x:v>Subscription consent, renewals or cancellation not compliant</x:v>
      </x:c>
      <x:c r="D16" s="4" t="n">
        <x:v>3</x:v>
      </x:c>
      <x:c r="E16" s="4" t="n">
        <x:v>4</x:v>
      </x:c>
      <x:c r="F16" s="4" t="n">
        <x:f>D16*E16</x:f>
        <x:v>12</x:v>
      </x:c>
      <x:c r="G16" s="4" t="str">
        <x:v>No current subscription implementation found</x:v>
      </x:c>
      <x:c r="H16" s="4" t="str">
        <x:v>Delay checkout until validated; clear terms, easy online cancel, notices and state-law review</x:v>
      </x:c>
      <x:c r="I16" s="4" t="str">
        <x:v>Yes</x:v>
      </x:c>
      <x:c r="J16" s="4" t="str">
        <x:v>Before taking recurring payments</x:v>
      </x:c>
      <x:c r="K16" s="4" t="str">
        <x:v>Jared</x:v>
      </x:c>
    </x:row>
    <x:row r="17" ht="32" customHeight="1">
      <x:c r="A17" s="4" t="str">
        <x:v>K16</x:v>
      </x:c>
      <x:c r="B17" s="4" t="str">
        <x:v>Reputation</x:v>
      </x:c>
      <x:c r="C17" s="4" t="str">
        <x:v>Sponsored ranking presented as objective snow quality</x:v>
      </x:c>
      <x:c r="D17" s="4" t="n">
        <x:v>3</x:v>
      </x:c>
      <x:c r="E17" s="4" t="n">
        <x:v>4</x:v>
      </x:c>
      <x:c r="F17" s="4" t="n">
        <x:f>D17*E17</x:f>
        <x:v>12</x:v>
      </x:c>
      <x:c r="G17" s="4" t="str">
        <x:v>No observed paid ranking; prospective monetization risk</x:v>
      </x:c>
      <x:c r="H17" s="4" t="str">
        <x:v>Separate sponsored module; label ads; no sponsor influence on factual conditions</x:v>
      </x:c>
      <x:c r="I17" s="4" t="str">
        <x:v>Yes disclosure</x:v>
      </x:c>
      <x:c r="J17" s="4" t="str">
        <x:v>Before sponsor launch</x:v>
      </x:c>
      <x:c r="K17" s="4" t="str">
        <x:v>Jared</x:v>
      </x:c>
    </x:row>
    <x:row r="18" ht="32" customHeight="1">
      <x:c r="A18" s="4" t="str">
        <x:v>K17</x:v>
      </x:c>
      <x:c r="B18" s="4" t="str">
        <x:v>Safety / AI</x:v>
      </x:c>
      <x:c r="C18" s="4" t="str">
        <x:v>Stale camera/AI summary misrepresented as current safe skiing conditions</x:v>
      </x:c>
      <x:c r="D18" s="4" t="n">
        <x:v>3</x:v>
      </x:c>
      <x:c r="E18" s="4" t="n">
        <x:v>5</x:v>
      </x:c>
      <x:c r="F18" s="4" t="n">
        <x:f>D18*E18</x:f>
        <x:v>15</x:v>
      </x:c>
      <x:c r="G18" s="4" t="str">
        <x:v>Live wording without demonstrated timestamps; AI not observed</x:v>
      </x:c>
      <x:c r="H18" s="4" t="str">
        <x:v>Show timestamp/timezone/source; never assert trail safety or avalanche guidance from images</x:v>
      </x:c>
      <x:c r="I18" s="4" t="str">
        <x:v>Yes</x:v>
      </x:c>
      <x:c r="J18" s="4" t="str">
        <x:v>Staleness or safety complaint</x:v>
      </x:c>
      <x:c r="K18" s="4" t="str">
        <x:v>Jared</x:v>
      </x:c>
    </x:row>
    <x:row r="19" ht="32" customHeight="1">
      <x:c r="A19" s="4" t="str">
        <x:v>K18</x:v>
      </x:c>
      <x:c r="B19" s="4" t="str">
        <x:v>Sales</x:v>
      </x:c>
      <x:c r="C19" s="4" t="str">
        <x:v>No buyer will pay at current traffic</x:v>
      </x:c>
      <x:c r="D19" s="4" t="n">
        <x:v>4</x:v>
      </x:c>
      <x:c r="E19" s="4" t="n">
        <x:v>3</x:v>
      </x:c>
      <x:c r="F19" s="4" t="n">
        <x:f>D19*E19</x:f>
        <x:v>12</x:v>
      </x:c>
      <x:c r="G19" s="4" t="str">
        <x:v>No traction verified; sponsor economics hypothetical</x:v>
      </x:c>
      <x:c r="H19" s="4" t="str">
        <x:v>Sell small measured pilots only; cancel if no local outcome; make no minimum reach claims</x:v>
      </x:c>
      <x:c r="I19" s="4" t="str">
        <x:v>No</x:v>
      </x:c>
      <x:c r="J19" s="4" t="str">
        <x:v>After 30 qualified sales conversations</x:v>
      </x:c>
      <x:c r="K19" s="4" t="str">
        <x:v>Jared</x:v>
      </x:c>
    </x:row>
    <x:row r="20" ht="32" customHeight="1">
      <x:c r="A20" s="4" t="str">
        <x:v>K19</x:v>
      </x:c>
      <x:c r="B20" s="4" t="str">
        <x:v>Affiliate</x:v>
      </x:c>
      <x:c r="C20" s="4" t="str">
        <x:v>Commissions rejected, reversed, delayed or banned</x:v>
      </x:c>
      <x:c r="D20" s="4" t="n">
        <x:v>4</x:v>
      </x:c>
      <x:c r="E20" s="4" t="n">
        <x:v>3</x:v>
      </x:c>
      <x:c r="F20" s="4" t="n">
        <x:f>D20*E20</x:f>
        <x:v>12</x:v>
      </x:c>
      <x:c r="G20" s="4" t="str">
        <x:v>No accepted accounts observed</x:v>
      </x:c>
      <x:c r="H20" s="4" t="str">
        <x:v>Track sub-ID approvals/net payout; follow PPC/coupon rules; model 60-day lag and reversals</x:v>
      </x:c>
      <x:c r="I20" s="4" t="str">
        <x:v>Contract review</x:v>
      </x:c>
      <x:c r="J20" s="4" t="str">
        <x:v>Monthly reconciliation</x:v>
      </x:c>
      <x:c r="K20" s="4" t="str">
        <x:v>Jared</x:v>
      </x:c>
    </x:row>
    <x:row r="21" ht="32" customHeight="1">
      <x:c r="A21" s="4" t="str">
        <x:v>K20</x:v>
      </x:c>
      <x:c r="B21" s="4" t="str">
        <x:v>Corporate</x:v>
      </x:c>
      <x:c r="C21" s="4" t="str">
        <x:v>Personal liability or mixed business/personal funds</x:v>
      </x:c>
      <x:c r="D21" s="4" t="n">
        <x:v>3</x:v>
      </x:c>
      <x:c r="E21" s="4" t="n">
        <x:v>5</x:v>
      </x:c>
      <x:c r="F21" s="4" t="n">
        <x:f>D21*E21</x:f>
        <x:v>15</x:v>
      </x:c>
      <x:c r="G21" s="4" t="str">
        <x:v>Entity, insurance, books unknown</x:v>
      </x:c>
      <x:c r="H21" s="4" t="str">
        <x:v>Home-state professional advice; proper entity when justified; separate bank/books/contracts</x:v>
      </x:c>
      <x:c r="I21" s="4" t="str">
        <x:v>Yes + CPA</x:v>
      </x:c>
      <x:c r="J21" s="4" t="str">
        <x:v>Before paid contracts</x:v>
      </x:c>
      <x:c r="K21" s="4" t="str">
        <x:v>Jared</x:v>
      </x:c>
    </x:row>
    <x:row r="22" ht="32" customHeight="1">
      <x:c r="A22" s="4" t="str">
        <x:v>K21</x:v>
      </x:c>
      <x:c r="B22" s="4" t="str">
        <x:v>Security</x:v>
      </x:c>
      <x:c r="C22" s="4" t="str">
        <x:v>Account takeover / malicious dependency / secrets exposure</x:v>
      </x:c>
      <x:c r="D22" s="4" t="n">
        <x:v>3</x:v>
      </x:c>
      <x:c r="E22" s="4" t="n">
        <x:v>5</x:v>
      </x:c>
      <x:c r="F22" s="4" t="n">
        <x:f>D22*E22</x:f>
        <x:v>15</x:v>
      </x:c>
      <x:c r="G22" s="4" t="str">
        <x:v>Public repo; no secret required in reviewed architecture</x:v>
      </x:c>
      <x:c r="H22" s="4" t="str">
        <x:v>MFA, least privilege, branch review, dependency updates, secret scanning and recovery keys</x:v>
      </x:c>
      <x:c r="I22" s="4" t="str">
        <x:v>No</x:v>
      </x:c>
      <x:c r="J22" s="4" t="str">
        <x:v>Critical dependency advisory</x:v>
      </x:c>
      <x:c r="K22" s="4" t="str">
        <x:v>Jared</x:v>
      </x:c>
    </x:row>
    <x:row r="23" ht="32" customHeight="1">
      <x:c r="A23" s="4" t="str">
        <x:v>K22</x:v>
      </x:c>
      <x:c r="B23" s="4" t="str">
        <x:v>Operations</x:v>
      </x:c>
      <x:c r="C23" s="4" t="str">
        <x:v>Solo founder overwhelmed by maintenance and prospecting</x:v>
      </x:c>
      <x:c r="D23" s="4" t="n">
        <x:v>4</x:v>
      </x:c>
      <x:c r="E23" s="4" t="n">
        <x:v>4</x:v>
      </x:c>
      <x:c r="F23" s="4" t="n">
        <x:f>D23*E23</x:f>
        <x:v>16</x:v>
      </x:c>
      <x:c r="G23" s="4" t="str">
        <x:v>100 prospects are a queue, not weekly workload</x:v>
      </x:c>
      <x:c r="H23" s="4" t="str">
        <x:v>Limit active outreach to 25; cap 20 resorts initially; automate link checks not scraping</x:v>
      </x:c>
      <x:c r="I23" s="4" t="str">
        <x:v>No</x:v>
      </x:c>
      <x:c r="J23" s="4" t="str">
        <x:v>&gt;8 hours weekly repair work</x:v>
      </x:c>
      <x:c r="K23" s="4" t="str">
        <x:v>Jared</x:v>
      </x:c>
    </x:row>
    <x:row r="24" ht="32" customHeight="1">
      <x:c r="A24" s="4" t="str">
        <x:v>K23</x:v>
      </x:c>
      <x:c r="B24" s="4" t="str">
        <x:v>IP / employment</x:v>
      </x:c>
      <x:c r="C24" s="4" t="str">
        <x:v>Founder ownership conflicts with employer or contractor</x:v>
      </x:c>
      <x:c r="D24" s="4" t="n">
        <x:v>2</x:v>
      </x:c>
      <x:c r="E24" s="4" t="n">
        <x:v>5</x:v>
      </x:c>
      <x:c r="F24" s="4" t="n">
        <x:f>D24*E24</x:f>
        <x:v>10</x:v>
      </x:c>
      <x:c r="G24" s="4" t="str">
        <x:v>Employment/IP agreements not reviewed</x:v>
      </x:c>
      <x:c r="H24" s="4" t="str">
        <x:v>Use own time/equipment; review invention assignment/moonlighting restrictions; written contractor assignment</x:v>
      </x:c>
      <x:c r="I24" s="4" t="str">
        <x:v>Yes</x:v>
      </x:c>
      <x:c r="J24" s="4" t="str">
        <x:v>Before contractor or commercialization</x:v>
      </x:c>
      <x:c r="K24" s="4" t="str">
        <x:v>Jared</x:v>
      </x:c>
    </x:row>
    <x:row r="25" ht="32" customHeight="1">
      <x:c r="A25" s="4" t="str">
        <x:v>K24</x:v>
      </x:c>
      <x:c r="B25" s="4" t="str">
        <x:v>Trademark</x:v>
      </x:c>
      <x:c r="C25" s="4" t="str">
        <x:v>PeakCam conflicts with an existing similar mark</x:v>
      </x:c>
      <x:c r="D25" s="4" t="n">
        <x:v>3</x:v>
      </x:c>
      <x:c r="E25" s="4" t="n">
        <x:v>4</x:v>
      </x:c>
      <x:c r="F25" s="4" t="n">
        <x:f>D25*E25</x:f>
        <x:v>12</x:v>
      </x:c>
      <x:c r="G25" s="4" t="str">
        <x:v>Name/domain observed; no clearance search opinion</x:v>
      </x:c>
      <x:c r="H25" s="4" t="str">
        <x:v>Professional similarity/class search before major spend; retain rebrand contingency</x:v>
      </x:c>
      <x:c r="I25" s="4" t="str">
        <x:v>Yes</x:v>
      </x:c>
      <x:c r="J25" s="4" t="str">
        <x:v>Before mark filing or large ad buy</x:v>
      </x:c>
      <x:c r="K25" s="4" t="str">
        <x:v>Jared</x:v>
      </x:c>
    </x:row>
    <x:row r="26" ht="32" customHeight="1">
      <x:c r="A26" s="4" t="str">
        <x:v>K25</x:v>
      </x:c>
      <x:c r="B26" s="4" t="str">
        <x:v>Children / community</x:v>
      </x:c>
      <x:c r="C26" s="4" t="str">
        <x:v>Under-13 data or harmful user uploads create new obligations</x:v>
      </x:c>
      <x:c r="D26" s="4" t="n">
        <x:v>2</x:v>
      </x:c>
      <x:c r="E26" s="4" t="n">
        <x:v>4</x:v>
      </x:c>
      <x:c r="F26" s="4" t="n">
        <x:f>D26*E26</x:f>
        <x:v>8</x:v>
      </x:c>
      <x:c r="G26" s="4" t="str">
        <x:v>No accounts/UGC observed in current rewrite</x:v>
      </x:c>
      <x:c r="H26" s="4" t="str">
        <x:v>Do not launch child-directed accounts or uploads; privacy counsel before community features</x:v>
      </x:c>
      <x:c r="I26" s="4" t="str">
        <x:v>Yes</x:v>
      </x:c>
      <x:c r="J26" s="4" t="str">
        <x:v>Before collecting user content</x:v>
      </x:c>
      <x:c r="K26" s="4" t="str">
        <x:v>Jared</x:v>
      </x:c>
    </x:row>
    <x:row r="27" ht="32" customHeight="1">
      <x:c r="A27" s="4" t="str">
        <x:v>K26</x:v>
      </x:c>
      <x:c r="B27" s="4" t="str">
        <x:v>Accessibility</x:v>
      </x:c>
      <x:c r="C27" s="4" t="str">
        <x:v>Core source links, filters or fallback unusable with keyboard/screen reader</x:v>
      </x:c>
      <x:c r="D27" s="4" t="n">
        <x:v>3</x:v>
      </x:c>
      <x:c r="E27" s="4" t="n">
        <x:v>3</x:v>
      </x:c>
      <x:c r="F27" s="4" t="n">
        <x:f>D27*E27</x:f>
        <x:v>9</x:v>
      </x:c>
      <x:c r="G27" s="4" t="str">
        <x:v>Interactive accessibility testing not performed</x:v>
      </x:c>
      <x:c r="H27" s="4" t="str">
        <x:v>Keyboard test, labels/focus/contrast, reduced motion, textual external fallback</x:v>
      </x:c>
      <x:c r="I27" s="4" t="str">
        <x:v>As needed</x:v>
      </x:c>
      <x:c r="J27" s="4" t="str">
        <x:v>Every core UI release</x:v>
      </x:c>
      <x:c r="K27" s="4" t="str">
        <x:v>Jared</x:v>
      </x:c>
    </x:row>
    <x:row r="28" ht="32" customHeight="1">
      <x:c r="A28" s="4" t="str">
        <x:v>K27</x:v>
      </x:c>
      <x:c r="B28" s="4" t="str">
        <x:v>Content / international</x:v>
      </x:c>
      <x:c r="C28" s="4" t="str">
        <x:v>Non-US database and contract restrictions on large-scale extraction</x:v>
      </x:c>
      <x:c r="D28" s="4" t="n">
        <x:v>2</x:v>
      </x:c>
      <x:c r="E28" s="4" t="n">
        <x:v>4</x:v>
      </x:c>
      <x:c r="F28" s="4" t="n">
        <x:f>D28*E28</x:f>
        <x:v>8</x:v>
      </x:c>
      <x:c r="G28" s="4" t="str">
        <x:v>No bulk scrape observed; international provider contacts proposed</x:v>
      </x:c>
      <x:c r="H28" s="4" t="str">
        <x:v>Avoid mass extraction; scope territories and permitted data fields in written license</x:v>
      </x:c>
      <x:c r="I28" s="4" t="str">
        <x:v>Yes</x:v>
      </x:c>
      <x:c r="J28" s="4" t="str">
        <x:v>Before international aggregation</x:v>
      </x:c>
      <x:c r="K28" s="4" t="str">
        <x:v>Jared</x:v>
      </x:c>
    </x:row>
    <x:row r="29" ht="32" customHeight="1">
      <x:c r="A29" s="4" t="str">
        <x:v>K28</x:v>
      </x:c>
      <x:c r="B29" s="4" t="str">
        <x:v>Incident response</x:v>
      </x:c>
      <x:c r="C29" s="4" t="str">
        <x:v>Missing takedown or breach response procedure</x:v>
      </x:c>
      <x:c r="D29" s="4" t="n">
        <x:v>3</x:v>
      </x:c>
      <x:c r="E29" s="4" t="n">
        <x:v>4</x:v>
      </x:c>
      <x:c r="F29" s="4" t="n">
        <x:f>D29*E29</x:f>
        <x:v>12</x:v>
      </x:c>
      <x:c r="G29" s="4" t="str">
        <x:v>Contact/policy routes exist; process unverified</x:v>
      </x:c>
      <x:c r="H29" s="4" t="str">
        <x:v>One owner, evidence preservation, quick content disable, state-specific breach counsel playbook</x:v>
      </x:c>
      <x:c r="I29" s="4" t="str">
        <x:v>Yes</x:v>
      </x:c>
      <x:c r="J29" s="4" t="str">
        <x:v>Any credible notice</x:v>
      </x:c>
      <x:c r="K29" s="4" t="str">
        <x:v>Jared</x:v>
      </x:c>
    </x:row>
  </x:sheetData>
  <x:conditionalFormatting sqref="F2:F29">
    <x:cfRule type="colorScale" priority="1">
      <x:colorScale>
        <x:cfvo type="min"/>
        <x:cfvo type="percentile" val="50"/>
        <x:cfvo type="max"/>
        <x:color rgb="FFDEF2E8"/>
        <x:color rgb="FFFFF0C2"/>
        <x:color rgb="FFF4B5B5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777f6bf6d3504e5d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5" hidden="0" customWidth="1"/>
    <x:col min="3" max="3" width="45" hidden="0" customWidth="1"/>
    <x:col min="4" max="4" width="28" hidden="0" customWidth="1"/>
    <x:col min="5" max="5" width="28" hidden="0" customWidth="1"/>
    <x:col min="6" max="6" width="48" hidden="0" customWidth="1"/>
    <x:col min="7" max="7" width="48" hidden="0" customWidth="1"/>
    <x:col min="8" max="8" width="28" hidden="0" customWidth="1"/>
    <x:col min="9" max="9" width="28" hidden="0" customWidth="1"/>
    <x:col min="10" max="10" width="28" hidden="0" customWidth="1"/>
  </x:cols>
  <x:sheetData>
    <x:row r="1" ht="42" customHeight="1">
      <x:c r="A1" s="9" t="str">
        <x:v>ID</x:v>
      </x:c>
      <x:c r="B1" s="9" t="str">
        <x:v>Hypothesis</x:v>
      </x:c>
      <x:c r="C1" s="9" t="str">
        <x:v>Implementation</x:v>
      </x:c>
      <x:c r="D1" s="9" t="str">
        <x:v>Cost_USD</x:v>
      </x:c>
      <x:c r="E1" s="9" t="str">
        <x:v>Duration_days</x:v>
      </x:c>
      <x:c r="F1" s="9" t="str">
        <x:v>Success_threshold</x:v>
      </x:c>
      <x:c r="G1" s="9" t="str">
        <x:v>Learning</x:v>
      </x:c>
      <x:c r="H1" s="9" t="str">
        <x:v>Deadline</x:v>
      </x:c>
      <x:c r="I1" s="9" t="str">
        <x:v>Owner</x:v>
      </x:c>
      <x:c r="J1" s="9" t="str">
        <x:v>Status</x:v>
      </x:c>
    </x:row>
    <x:row r="2" ht="32" customHeight="1">
      <x:c r="A2" s="4" t="str">
        <x:v>E01</x:v>
      </x:c>
      <x:c r="B2" s="4" t="str">
        <x:v>Camera utility works without accounts</x:v>
      </x:c>
      <x:c r="C2" s="4" t="str">
        <x:v>Watch 10 users locate their preferred current official camera</x:v>
      </x:c>
      <x:c r="D2" s="4" t="n">
        <x:v>0</x:v>
      </x:c>
      <x:c r="E2" s="4" t="n">
        <x:v>5</x:v>
      </x:c>
      <x:c r="F2" s="4" t="str">
        <x:v>9/10 complete within 20 seconds; no placeholder exposure</x:v>
      </x:c>
      <x:c r="G2" s="4" t="str">
        <x:v>Whether navigation, not more features, is bottleneck</x:v>
      </x:c>
      <x:c r="H2" s="4" t="str">
        <x:v>2026-09-18</x:v>
      </x:c>
      <x:c r="I2" s="4" t="str">
        <x:v>Jared</x:v>
      </x:c>
      <x:c r="J2" s="4" t="str">
        <x:v>Not started</x:v>
      </x:c>
    </x:row>
    <x:row r="3" ht="32" customHeight="1">
      <x:c r="A3" s="4" t="str">
        <x:v>E02</x:v>
      </x:c>
      <x:c r="B3" s="4" t="str">
        <x:v>Colorado locals have a repeat pre-drive job</x:v>
      </x:c>
      <x:c r="C3" s="4" t="str">
        <x:v>12 interviews about last real skiing decision; avoid feature hypotheticals</x:v>
      </x:c>
      <x:c r="D3" s="4" t="n">
        <x:v>100</x:v>
      </x:c>
      <x:c r="E3" s="4" t="n">
        <x:v>14</x:v>
      </x:c>
      <x:c r="F3" s="4" t="str">
        <x:v>8 describe a recurring multi-site camera check</x:v>
      </x:c>
      <x:c r="G3" s="4" t="str">
        <x:v>Choose core persona and corridor</x:v>
      </x:c>
      <x:c r="H3" s="4" t="str">
        <x:v>2026-09-27</x:v>
      </x:c>
      <x:c r="I3" s="4" t="str">
        <x:v>Jared</x:v>
      </x:c>
      <x:c r="J3" s="4" t="str">
        <x:v>Not started</x:v>
      </x:c>
    </x:row>
    <x:row r="4" ht="32" customHeight="1">
      <x:c r="A4" s="4" t="str">
        <x:v>E03</x:v>
      </x:c>
      <x:c r="B4" s="4" t="str">
        <x:v>Resorts welcome attributed referral distribution</x:v>
      </x:c>
      <x:c r="C4" s="4" t="str">
        <x:v>10 short permission requests with exact source URL and scope</x:v>
      </x:c>
      <x:c r="D4" s="4" t="n">
        <x:v>0</x:v>
      </x:c>
      <x:c r="E4" s="4" t="n">
        <x:v>14</x:v>
      </x:c>
      <x:c r="F4" s="4" t="str">
        <x:v>3 substantive replies; 2 written approvals or clear licensing path</x:v>
      </x:c>
      <x:c r="G4" s="4" t="str">
        <x:v>Access feasibility and procurement friction</x:v>
      </x:c>
      <x:c r="H4" s="4" t="str">
        <x:v>2026-10-02</x:v>
      </x:c>
      <x:c r="I4" s="4" t="str">
        <x:v>Jared</x:v>
      </x:c>
      <x:c r="J4" s="4" t="str">
        <x:v>Not started</x:v>
      </x:c>
    </x:row>
    <x:row r="5" ht="32" customHeight="1">
      <x:c r="A5" s="4" t="str">
        <x:v>E04</x:v>
      </x:c>
      <x:c r="B5" s="4" t="str">
        <x:v>One provider can simplify lawful coverage</x:v>
      </x:c>
      <x:c r="C5" s="4" t="str">
        <x:v>Roundshot, HDOnTap and Panomax scoped 5–10 camera pilot requests</x:v>
      </x:c>
      <x:c r="D5" s="4" t="n">
        <x:v>0</x:v>
      </x:c>
      <x:c r="E5" s="4" t="n">
        <x:v>21</x:v>
      </x:c>
      <x:c r="F5" s="4" t="str">
        <x:v>One written commercial pilot proposal identifying owner consent</x:v>
      </x:c>
      <x:c r="G5" s="4" t="str">
        <x:v>Whether upstream partnership is a real leverage point</x:v>
      </x:c>
      <x:c r="H5" s="4" t="str">
        <x:v>2026-10-09</x:v>
      </x:c>
      <x:c r="I5" s="4" t="str">
        <x:v>Jared</x:v>
      </x:c>
      <x:c r="J5" s="4" t="str">
        <x:v>Not started</x:v>
      </x:c>
    </x:row>
    <x:row r="6" ht="32" customHeight="1">
      <x:c r="A6" s="4" t="str">
        <x:v>E05</x:v>
      </x:c>
      <x:c r="B6" s="4" t="str">
        <x:v>Favorites increase return use</x:v>
      </x:c>
      <x:c r="C6" s="4" t="str">
        <x:v>Browser-local favorites for a 50-person beta; compare by cohort, acknowledge self-selection</x:v>
      </x:c>
      <x:c r="D6" s="4" t="n">
        <x:v>0</x:v>
      </x:c>
      <x:c r="E6" s="4" t="n">
        <x:v>21</x:v>
      </x:c>
      <x:c r="F6" s="4" t="str">
        <x:v>20% save; 25% return within 14 days during relevant weather</x:v>
      </x:c>
      <x:c r="G6" s="4" t="str">
        <x:v>Value of retention feature, not causal proof</x:v>
      </x:c>
      <x:c r="H6" s="4" t="str">
        <x:v>2026-10-23</x:v>
      </x:c>
      <x:c r="I6" s="4" t="str">
        <x:v>Jared</x:v>
      </x:c>
      <x:c r="J6" s="4" t="str">
        <x:v>Not started</x:v>
      </x:c>
    </x:row>
    <x:row r="7" ht="32" customHeight="1">
      <x:c r="A7" s="4" t="str">
        <x:v>E06</x:v>
      </x:c>
      <x:c r="B7" s="4" t="str">
        <x:v>Club distribution acquires engaged users cheaply</x:v>
      </x:c>
      <x:c r="C7" s="4" t="str">
        <x:v>3 club messages with unique UTM/landing page; no paid blast</x:v>
      </x:c>
      <x:c r="D7" s="4" t="n">
        <x:v>100</x:v>
      </x:c>
      <x:c r="E7" s="4" t="n">
        <x:v>21</x:v>
      </x:c>
      <x:c r="F7" s="4" t="str">
        <x:v>100 visitors; &gt;40% qualified action; &gt;15% 14-day return</x:v>
      </x:c>
      <x:c r="G7" s="4" t="str">
        <x:v>Repeatable channel economics</x:v>
      </x:c>
      <x:c r="H7" s="4" t="str">
        <x:v>2026-10-30</x:v>
      </x:c>
      <x:c r="I7" s="4" t="str">
        <x:v>Jared</x:v>
      </x:c>
      <x:c r="J7" s="4" t="str">
        <x:v>Not started</x:v>
      </x:c>
    </x:row>
    <x:row r="8" ht="32" customHeight="1">
      <x:c r="A8" s="4" t="str">
        <x:v>E07</x:v>
      </x:c>
      <x:c r="B8" s="4" t="str">
        <x:v>Specific long-tail pages can gain search exposure</x:v>
      </x:c>
      <x:c r="C8" s="4" t="str">
        <x:v>Publish 12 useful pages; inspect indexing and nonbrand impressions</x:v>
      </x:c>
      <x:c r="D8" s="4" t="n">
        <x:v>300</x:v>
      </x:c>
      <x:c r="E8" s="4" t="n">
        <x:v>45</x:v>
      </x:c>
      <x:c r="F8" s="4" t="str">
        <x:v>8 eligible pages indexed and rising impressions; not a traffic guarantee</x:v>
      </x:c>
      <x:c r="G8" s="4" t="str">
        <x:v>Indexation and keyword fit</x:v>
      </x:c>
      <x:c r="H8" s="4" t="str">
        <x:v>2026-11-15</x:v>
      </x:c>
      <x:c r="I8" s="4" t="str">
        <x:v>Jared</x:v>
      </x:c>
      <x:c r="J8" s="4" t="str">
        <x:v>Not started</x:v>
      </x:c>
    </x:row>
    <x:row r="9" ht="32" customHeight="1">
      <x:c r="A9" s="4" t="str">
        <x:v>E08</x:v>
      </x:c>
      <x:c r="B9" s="4" t="str">
        <x:v>Resort-context rentals convert better than generic gear</x:v>
      </x:c>
      <x:c r="C9" s="4" t="str">
        <x:v>One approved rental CTA versus one contextual gear CTA, same disclosure</x:v>
      </x:c>
      <x:c r="D9" s="4" t="n">
        <x:v>0</x:v>
      </x:c>
      <x:c r="E9" s="4" t="n">
        <x:v>30</x:v>
      </x:c>
      <x:c r="F9" s="4" t="str">
        <x:v>100 qualified outbound clicks; at least one approved transaction; report intervals</x:v>
      </x:c>
      <x:c r="G9" s="4" t="str">
        <x:v>Revenue per outbound click and destination intent</x:v>
      </x:c>
      <x:c r="H9" s="4" t="str">
        <x:v>2026-11-30</x:v>
      </x:c>
      <x:c r="I9" s="4" t="str">
        <x:v>Jared</x:v>
      </x:c>
      <x:c r="J9" s="4" t="str">
        <x:v>Not started</x:v>
      </x:c>
    </x:row>
    <x:row r="10" ht="32" customHeight="1">
      <x:c r="A10" s="4" t="str">
        <x:v>E09</x:v>
      </x:c>
      <x:c r="B10" s="4" t="str">
        <x:v>A local merchant pays for measured exposure</x:v>
      </x:c>
      <x:c r="C10" s="4" t="str">
        <x:v>Pitch 10 appropriate businesses after showing actual local usage</x:v>
      </x:c>
      <x:c r="D10" s="4" t="n">
        <x:v>0</x:v>
      </x:c>
      <x:c r="E10" s="4" t="n">
        <x:v>21</x:v>
      </x:c>
      <x:c r="F10" s="4" t="str">
        <x:v>2 $50–150 paid monthly pilots without false reach promises</x:v>
      </x:c>
      <x:c r="G10" s="4" t="str">
        <x:v>Real budget and buyer language</x:v>
      </x:c>
      <x:c r="H10" s="4" t="str">
        <x:v>2026-11-20</x:v>
      </x:c>
      <x:c r="I10" s="4" t="str">
        <x:v>Jared</x:v>
      </x:c>
      <x:c r="J10" s="4" t="str">
        <x:v>Not started</x:v>
      </x:c>
    </x:row>
    <x:row r="11" ht="32" customHeight="1">
      <x:c r="A11" s="4" t="str">
        <x:v>E10</x:v>
      </x:c>
      <x:c r="B11" s="4" t="str">
        <x:v>Camera condition reminders have paid demand</x:v>
      </x:c>
      <x:c r="C11" s="4" t="str">
        <x:v>Price-specific Pro waitlist ($19–29 season); interview opt-ins, no fake checkout</x:v>
      </x:c>
      <x:c r="D11" s="4" t="n">
        <x:v>0</x:v>
      </x:c>
      <x:c r="E11" s="4" t="n">
        <x:v>21</x:v>
      </x:c>
      <x:c r="F11" s="4" t="str">
        <x:v>10% of 200 engaged visitors join; 10 explicitly accept price in follow-up</x:v>
      </x:c>
      <x:c r="G11" s="4" t="str">
        <x:v>Whether any premium build is justified</x:v>
      </x:c>
      <x:c r="H11" s="4" t="str">
        <x:v>2026-10-31</x:v>
      </x:c>
      <x:c r="I11" s="4" t="str">
        <x:v>Jared</x:v>
      </x:c>
      <x:c r="J11" s="4" t="str">
        <x:v>Not started</x:v>
      </x:c>
    </x:row>
    <x:row r="12" ht="32" customHeight="1">
      <x:c r="A12" s="4" t="str">
        <x:v>E11</x:v>
      </x:c>
      <x:c r="B12" s="4" t="str">
        <x:v>Permissioned morning comparison content drives site actions</x:v>
      </x:c>
      <x:c r="C12" s="4" t="str">
        <x:v>12 posts across 2 formats with trackable links; 30-minute production cap</x:v>
      </x:c>
      <x:c r="D12" s="4" t="n">
        <x:v>150</x:v>
      </x:c>
      <x:c r="E12" s="4" t="n">
        <x:v>21</x:v>
      </x:c>
      <x:c r="F12" s="4" t="str">
        <x:v>At least 100 qualified visits; &gt;5 visits per production hour; one repeatable format</x:v>
      </x:c>
      <x:c r="G12" s="4" t="str">
        <x:v>Content efficiency rather than viral vanity</x:v>
      </x:c>
      <x:c r="H12" s="4" t="str">
        <x:v>2026-10-31</x:v>
      </x:c>
      <x:c r="I12" s="4" t="str">
        <x:v>Jared</x:v>
      </x:c>
      <x:c r="J12" s="4" t="str">
        <x:v>Not started</x:v>
      </x:c>
    </x:row>
    <x:row r="13" ht="32" customHeight="1">
      <x:c r="A13" s="4" t="str">
        <x:v>E12</x:v>
      </x:c>
      <x:c r="B13" s="4" t="str">
        <x:v>A small creator review reaches the right audience</x:v>
      </x:c>
      <x:c r="C13" s="4" t="str">
        <x:v>3 niche creators; free honest product access, no payment for positive review</x:v>
      </x:c>
      <x:c r="D13" s="4" t="n">
        <x:v>100</x:v>
      </x:c>
      <x:c r="E13" s="4" t="n">
        <x:v>21</x:v>
      </x:c>
      <x:c r="F13" s="4" t="str">
        <x:v>2 reviews/mentions; 50 qualified visits from one</x:v>
      </x:c>
      <x:c r="G13" s="4" t="str">
        <x:v>Earned distribution and product weaknesses</x:v>
      </x:c>
      <x:c r="H13" s="4" t="str">
        <x:v>2026-11-20</x:v>
      </x:c>
      <x:c r="I13" s="4" t="str">
        <x:v>Jared</x:v>
      </x:c>
      <x:c r="J13" s="4" t="str">
        <x:v>Not started</x:v>
      </x:c>
    </x:row>
    <x:row r="14" ht="32" customHeight="1">
      <x:c r="A14" s="4" t="str">
        <x:v>E13</x:v>
      </x:c>
      <x:c r="B14" s="4" t="str">
        <x:v>Destination sponsor pilot can renew</x:v>
      </x:c>
      <x:c r="C14" s="4" t="str">
        <x:v>Send actual report to first 3 sponsors and ask renewal at transparent price</x:v>
      </x:c>
      <x:c r="D14" s="4" t="n">
        <x:v>0</x:v>
      </x:c>
      <x:c r="E14" s="4" t="n">
        <x:v>30</x:v>
      </x:c>
      <x:c r="F14" s="4" t="str">
        <x:v>At least 2 renew or increase scope voluntarily</x:v>
      </x:c>
      <x:c r="G14" s="4" t="str">
        <x:v>Buyer value beyond novelty</x:v>
      </x:c>
      <x:c r="H14" s="4" t="str">
        <x:v>2027-01-15</x:v>
      </x:c>
      <x:c r="I14" s="4" t="str">
        <x:v>Jared</x:v>
      </x:c>
      <x:c r="J14" s="4" t="str">
        <x:v>Not started</x:v>
      </x:c>
    </x:row>
    <x:row r="15" ht="32" customHeight="1">
      <x:c r="A15" s="4" t="str">
        <x:v>E14</x:v>
      </x:c>
      <x:c r="B15" s="4" t="str">
        <x:v>Paid acquisition can eventually clear unit economics</x:v>
      </x:c>
      <x:c r="C15" s="4" t="str">
        <x:v>Only after retention proof: capped $100 exact-intent campaign, no broad match</x:v>
      </x:c>
      <x:c r="D15" s="4" t="n">
        <x:v>100</x:v>
      </x:c>
      <x:c r="E15" s="4" t="n">
        <x:v>7</x:v>
      </x:c>
      <x:c r="F15" s="4" t="str">
        <x:v>Measured 90-day gross profit/CAC plausibly &gt;1.5; otherwise stop</x:v>
      </x:c>
      <x:c r="G15" s="4" t="str">
        <x:v>Whether paid traffic is commercially rational</x:v>
      </x:c>
      <x:c r="H15" s="4" t="str">
        <x:v>2026-12-15</x:v>
      </x:c>
      <x:c r="I15" s="4" t="str">
        <x:v>Jared</x:v>
      </x:c>
      <x:c r="J15" s="4" t="str">
        <x:v>Not started</x:v>
      </x:c>
    </x:row>
    <x:row r="16" ht="32" customHeight="1">
      <x:c r="A16" s="4" t="str">
        <x:v>E15</x:v>
      </x:c>
      <x:c r="B16" s="4" t="str">
        <x:v>Ads do not damage the useful camera journey</x:v>
      </x:c>
      <x:c r="C16" s="4" t="str">
        <x:v>Small holdout on eligible pages; cap one nonblocking unit</x:v>
      </x:c>
      <x:c r="D16" s="4" t="n">
        <x:v>0</x:v>
      </x:c>
      <x:c r="E16" s="4" t="n">
        <x:v>21</x:v>
      </x:c>
      <x:c r="F16" s="4" t="str">
        <x:v>Positive revenue less infra/retention cost; no material core-action decline</x:v>
      </x:c>
      <x:c r="G16" s="4" t="str">
        <x:v>Marginal ad value, not just RPM</x:v>
      </x:c>
      <x:c r="H16" s="4" t="str">
        <x:v>2027-02-20</x:v>
      </x:c>
      <x:c r="I16" s="4" t="str">
        <x:v>Jared</x:v>
      </x:c>
      <x:c r="J16" s="4" t="str">
        <x:v>Not started</x:v>
      </x:c>
    </x:row>
  </x:sheetData>
  <x:pageMargins left="0.7" right="0.7" top="0.75" bottom="0.75" header="0.3" footer="0.3"/>
  <x:tableParts count="1">
    <x:tablePart xmlns:r="http://schemas.openxmlformats.org/officeDocument/2006/relationships" r:id="Rafc80054a332413f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 ht="42" customHeight="1">
      <x:c r="A1" s="9" t="str">
        <x:v>Budget</x:v>
      </x:c>
      <x:c r="B1" s="9" t="str">
        <x:v>Paid search</x:v>
      </x:c>
      <x:c r="C1" s="9" t="str">
        <x:v>Paid social</x:v>
      </x:c>
      <x:c r="D1" s="9" t="str">
        <x:v>Creators</x:v>
      </x:c>
      <x:c r="E1" s="9" t="str">
        <x:v>Content / SEO labor</x:v>
      </x:c>
      <x:c r="F1" s="9" t="str">
        <x:v>PR / community</x:v>
      </x:c>
      <x:c r="G1" s="9" t="str">
        <x:v>Giveaways</x:v>
      </x:c>
      <x:c r="H1" s="9" t="str">
        <x:v>Partnership visits / samples</x:v>
      </x:c>
      <x:c r="I1" s="9" t="str">
        <x:v>Tools</x:v>
      </x:c>
      <x:c r="J1" s="9" t="str">
        <x:v>Reserve</x:v>
      </x:c>
      <x:c r="K1" s="9" t="str">
        <x:v>Allocated</x:v>
      </x:c>
      <x:c r="L1" s="9" t="str">
        <x:v>Unallocated</x:v>
      </x:c>
    </x:row>
    <x:row r="2" ht="32" customHeight="1">
      <x:c r="A2" s="34" t="n">
        <x:v>500</x:v>
      </x:c>
      <x:c r="B2" s="34" t="n">
        <x:v>0</x:v>
      </x:c>
      <x:c r="C2" s="34" t="n">
        <x:v>0</x:v>
      </x:c>
      <x:c r="D2" s="34" t="n">
        <x:v>50</x:v>
      </x:c>
      <x:c r="E2" s="34" t="n">
        <x:v>150</x:v>
      </x:c>
      <x:c r="F2" s="34" t="n">
        <x:v>50</x:v>
      </x:c>
      <x:c r="G2" s="34" t="n">
        <x:v>0</x:v>
      </x:c>
      <x:c r="H2" s="34" t="n">
        <x:v>100</x:v>
      </x:c>
      <x:c r="I2" s="34" t="n">
        <x:v>50</x:v>
      </x:c>
      <x:c r="J2" s="34" t="n">
        <x:v>100</x:v>
      </x:c>
      <x:c r="K2" s="34" t="n">
        <x:f>SUM(B2:J2)</x:f>
        <x:v>500</x:v>
      </x:c>
      <x:c r="L2" s="34" t="n">
        <x:f>A2-K2</x:f>
        <x:v>0</x:v>
      </x:c>
    </x:row>
    <x:row r="3" ht="32" customHeight="1">
      <x:c r="A3" s="34" t="n">
        <x:v>1000</x:v>
      </x:c>
      <x:c r="B3" s="34" t="n">
        <x:v>50</x:v>
      </x:c>
      <x:c r="C3" s="34" t="n">
        <x:v>0</x:v>
      </x:c>
      <x:c r="D3" s="34" t="n">
        <x:v>150</x:v>
      </x:c>
      <x:c r="E3" s="34" t="n">
        <x:v>350</x:v>
      </x:c>
      <x:c r="F3" s="34" t="n">
        <x:v>100</x:v>
      </x:c>
      <x:c r="G3" s="34" t="n">
        <x:v>0</x:v>
      </x:c>
      <x:c r="H3" s="34" t="n">
        <x:v>150</x:v>
      </x:c>
      <x:c r="I3" s="34" t="n">
        <x:v>50</x:v>
      </x:c>
      <x:c r="J3" s="34" t="n">
        <x:v>150</x:v>
      </x:c>
      <x:c r="K3" s="34" t="n">
        <x:f>SUM(B3:J3)</x:f>
        <x:v>1000</x:v>
      </x:c>
      <x:c r="L3" s="34" t="n">
        <x:f>A3-K3</x:f>
        <x:v>0</x:v>
      </x:c>
    </x:row>
    <x:row r="4" ht="32" customHeight="1">
      <x:c r="A4" s="34" t="n">
        <x:v>5000</x:v>
      </x:c>
      <x:c r="B4" s="34" t="n">
        <x:v>300</x:v>
      </x:c>
      <x:c r="C4" s="34" t="n">
        <x:v>200</x:v>
      </x:c>
      <x:c r="D4" s="34" t="n">
        <x:v>800</x:v>
      </x:c>
      <x:c r="E4" s="34" t="n">
        <x:v>1700</x:v>
      </x:c>
      <x:c r="F4" s="34" t="n">
        <x:v>300</x:v>
      </x:c>
      <x:c r="G4" s="34" t="n">
        <x:v>100</x:v>
      </x:c>
      <x:c r="H4" s="34" t="n">
        <x:v>500</x:v>
      </x:c>
      <x:c r="I4" s="34" t="n">
        <x:v>200</x:v>
      </x:c>
      <x:c r="J4" s="34" t="n">
        <x:v>900</x:v>
      </x:c>
      <x:c r="K4" s="34" t="n">
        <x:f>SUM(B4:J4)</x:f>
        <x:v>5000</x:v>
      </x:c>
      <x:c r="L4" s="34" t="n">
        <x:f>A4-K4</x:f>
        <x:v>0</x:v>
      </x:c>
    </x:row>
    <x:row r="5" ht="32" customHeight="1">
      <x:c r="A5" s="34" t="n">
        <x:v>10000</x:v>
      </x:c>
      <x:c r="B5" s="34" t="n">
        <x:v>700</x:v>
      </x:c>
      <x:c r="C5" s="34" t="n">
        <x:v>500</x:v>
      </x:c>
      <x:c r="D5" s="34" t="n">
        <x:v>1800</x:v>
      </x:c>
      <x:c r="E5" s="34" t="n">
        <x:v>3000</x:v>
      </x:c>
      <x:c r="F5" s="34" t="n">
        <x:v>500</x:v>
      </x:c>
      <x:c r="G5" s="34" t="n">
        <x:v>200</x:v>
      </x:c>
      <x:c r="H5" s="34" t="n">
        <x:v>1000</x:v>
      </x:c>
      <x:c r="I5" s="34" t="n">
        <x:v>300</x:v>
      </x:c>
      <x:c r="J5" s="34" t="n">
        <x:v>2000</x:v>
      </x:c>
      <x:c r="K5" s="34" t="n">
        <x:f>SUM(B5:J5)</x:f>
        <x:v>10000</x:v>
      </x:c>
      <x:c r="L5" s="34" t="n">
        <x:f>A5-K5</x:f>
        <x:v>0</x:v>
      </x:c>
    </x:row>
    <x:row r="6" ht="32" customHeight="1">
      <x:c r="A6" s="34" t="n">
        <x:v>25000</x:v>
      </x:c>
      <x:c r="B6" s="34" t="n">
        <x:v>2000</x:v>
      </x:c>
      <x:c r="C6" s="34" t="n">
        <x:v>1500</x:v>
      </x:c>
      <x:c r="D6" s="34" t="n">
        <x:v>4000</x:v>
      </x:c>
      <x:c r="E6" s="34" t="n">
        <x:v>7000</x:v>
      </x:c>
      <x:c r="F6" s="34" t="n">
        <x:v>1000</x:v>
      </x:c>
      <x:c r="G6" s="34" t="n">
        <x:v>500</x:v>
      </x:c>
      <x:c r="H6" s="34" t="n">
        <x:v>2000</x:v>
      </x:c>
      <x:c r="I6" s="34" t="n">
        <x:v>500</x:v>
      </x:c>
      <x:c r="J6" s="34" t="n">
        <x:v>6500</x:v>
      </x:c>
      <x:c r="K6" s="34" t="n">
        <x:f>SUM(B6:J6)</x:f>
        <x:v>25000</x:v>
      </x:c>
      <x:c r="L6" s="34" t="n">
        <x:f>A6-K6</x:f>
        <x:v>0</x:v>
      </x:c>
    </x:row>
    <x:row r="9" ht="40" customHeight="1">
      <x:c r="A9" s="39" t="str">
        <x:v>TOTAL seasonal marketing envelopes, not monthly recurring spend. Reserve is already included in allocation and can remain unspent.</x:v>
      </x:c>
      <x:c r="B9" s="39"/>
      <x:c r="C9" s="39"/>
      <x:c r="D9" s="39"/>
      <x:c r="E9" s="39"/>
      <x:c r="F9" s="39"/>
      <x:c r="G9" s="39"/>
      <x:c r="H9" s="39"/>
      <x:c r="I9" s="39"/>
      <x:c r="J9" s="39"/>
      <x:c r="K9" s="39"/>
      <x:c r="L9" s="39"/>
    </x:row>
  </x:sheetData>
  <x:mergeCells>
    <x:mergeCell ref="A9:L9"/>
  </x:mergeCells>
  <x:pageMargins left="0.7" right="0.7" top="0.75" bottom="0.75" header="0.3" footer="0.3"/>
  <x:tableParts count="1">
    <x:tablePart xmlns:r="http://schemas.openxmlformats.org/officeDocument/2006/relationships" r:id="R61d857297809466a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38" hidden="0" customWidth="1"/>
    <x:col min="3" max="3" width="38" hidden="0" customWidth="1"/>
    <x:col min="4" max="4" width="38" hidden="0" customWidth="1"/>
    <x:col min="5" max="5" width="38" hidden="0" customWidth="1"/>
  </x:cols>
  <x:sheetData>
    <x:row r="1" ht="42" customHeight="1">
      <x:c r="A1" s="9" t="str">
        <x:v>Event</x:v>
      </x:c>
      <x:c r="B1" s="9" t="str">
        <x:v>Trigger</x:v>
      </x:c>
      <x:c r="C1" s="9" t="str">
        <x:v>Properties</x:v>
      </x:c>
      <x:c r="D1" s="9" t="str">
        <x:v>Implementation status</x:v>
      </x:c>
      <x:c r="E1" s="9" t="str">
        <x:v>Purpose</x:v>
      </x:c>
    </x:row>
    <x:row r="2" ht="32" customHeight="1">
      <x:c r="A2" s="4" t="str">
        <x:v>page_view</x:v>
      </x:c>
      <x:c r="B2" s="4" t="str">
        <x:v>Page rendered</x:v>
      </x:c>
      <x:c r="C2" s="4" t="str">
        <x:v>page_type,resort_id,region,source_channel</x:v>
      </x:c>
      <x:c r="D2" s="4" t="str">
        <x:v>Existing analytics integration; validate payload</x:v>
      </x:c>
      <x:c r="E2" s="4" t="str">
        <x:v>Acquisition denominator; bot filtering</x:v>
      </x:c>
    </x:row>
    <x:row r="3" ht="32" customHeight="1">
      <x:c r="A3" s="4" t="str">
        <x:v>resort_search</x:v>
      </x:c>
      <x:c r="B3" s="4" t="str">
        <x:v>Search submitted</x:v>
      </x:c>
      <x:c r="C3" s="4" t="str">
        <x:v>query_class,result_count</x:v>
      </x:c>
      <x:c r="D3" s="4" t="str">
        <x:v>Proposed; do not send raw personal queries</x:v>
      </x:c>
      <x:c r="E3" s="4" t="str">
        <x:v>Find unmet destination demand</x:v>
      </x:c>
    </x:row>
    <x:row r="4" ht="32" customHeight="1">
      <x:c r="A4" s="4" t="str">
        <x:v>region_filter_select</x:v>
      </x:c>
      <x:c r="B4" s="4" t="str">
        <x:v>Region filter used</x:v>
      </x:c>
      <x:c r="C4" s="4" t="str">
        <x:v>region,available_count</x:v>
      </x:c>
      <x:c r="D4" s="4" t="str">
        <x:v>Proposed</x:v>
      </x:c>
      <x:c r="E4" s="4" t="str">
        <x:v>Demand and empty-state diagnosis</x:v>
      </x:c>
    </x:row>
    <x:row r="5" ht="32" customHeight="1">
      <x:c r="A5" s="4" t="str">
        <x:v>resort_card_click</x:v>
      </x:c>
      <x:c r="B5" s="4" t="str">
        <x:v>Resort selected</x:v>
      </x:c>
      <x:c r="C5" s="4" t="str">
        <x:v>resort_id,position,entry_page</x:v>
      </x:c>
      <x:c r="D5" s="4" t="str">
        <x:v>Validate existing implementation</x:v>
      </x:c>
      <x:c r="E5" s="4" t="str">
        <x:v>Navigation conversion</x:v>
      </x:c>
    </x:row>
    <x:row r="6" ht="32" customHeight="1">
      <x:c r="A6" s="4" t="str">
        <x:v>resort_page_view</x:v>
      </x:c>
      <x:c r="B6" s="4" t="str">
        <x:v>Resort detail loaded</x:v>
      </x:c>
      <x:c r="C6" s="4" t="str">
        <x:v>resort_id,camera_count,verified_count</x:v>
      </x:c>
      <x:c r="D6" s="4" t="str">
        <x:v>Proposed/validate</x:v>
      </x:c>
      <x:c r="E6" s="4" t="str">
        <x:v>Intent denominator</x:v>
      </x:c>
    </x:row>
    <x:row r="7" ht="32" customHeight="1">
      <x:c r="A7" s="4" t="str">
        <x:v>camera_watch_open</x:v>
      </x:c>
      <x:c r="B7" s="4" t="str">
        <x:v>User opens watch experience</x:v>
      </x:c>
      <x:c r="C7" s="4" t="str">
        <x:v>resort_id,camera_id,embed_type</x:v>
      </x:c>
      <x:c r="D7" s="4" t="str">
        <x:v>Observed in renderer</x:v>
      </x:c>
      <x:c r="E7" s="4" t="str">
        <x:v>Intent; NOT proof of playback</x:v>
      </x:c>
    </x:row>
    <x:row r="8" ht="32" customHeight="1">
      <x:c r="A8" s="4" t="str">
        <x:v>camera_embed_ready</x:v>
      </x:c>
      <x:c r="B8" s="4" t="str">
        <x:v>Image/iframe load event</x:v>
      </x:c>
      <x:c r="C8" s="4" t="str">
        <x:v>camera_id,embed_type,elapsed_ms</x:v>
      </x:c>
      <x:c r="D8" s="4" t="str">
        <x:v>Observed; iframe onLoad only</x:v>
      </x:c>
      <x:c r="E8" s="4" t="str">
        <x:v>Technical load; do NOT call video view</x:v>
      </x:c>
    </x:row>
    <x:row r="9" ht="32" customHeight="1">
      <x:c r="A9" s="4" t="str">
        <x:v>camera_play_confirmed</x:v>
      </x:c>
      <x:c r="B9" s="4" t="str">
        <x:v>Provider playback callback, where supported</x:v>
      </x:c>
      <x:c r="C9" s="4" t="str">
        <x:v>camera_id,provider,event_source</x:v>
      </x:c>
      <x:c r="D9" s="4" t="str">
        <x:v>Proposed only where technically measurable</x:v>
      </x:c>
      <x:c r="E9" s="4" t="str">
        <x:v>Confirmed playback numerator</x:v>
      </x:c>
    </x:row>
    <x:row r="10" ht="32" customHeight="1">
      <x:c r="A10" s="4" t="str">
        <x:v>camera_source_click</x:v>
      </x:c>
      <x:c r="B10" s="4" t="str">
        <x:v>User opens official source</x:v>
      </x:c>
      <x:c r="C10" s="4" t="str">
        <x:v>camera_id,resort_id,source_host,reason</x:v>
      </x:c>
      <x:c r="D10" s="4" t="str">
        <x:v>Validate tracking; proposed dimensions</x:v>
      </x:c>
      <x:c r="E10" s="4" t="str">
        <x:v>Core qualified action for external mode</x:v>
      </x:c>
    </x:row>
    <x:row r="11" ht="32" customHeight="1">
      <x:c r="A11" s="4" t="str">
        <x:v>camera_fallback_shown</x:v>
      </x:c>
      <x:c r="B11" s="4" t="str">
        <x:v>Timeout/error fallback appears</x:v>
      </x:c>
      <x:c r="C11" s="4" t="str">
        <x:v>camera_id,error_class,elapsed_ms</x:v>
      </x:c>
      <x:c r="D11" s="4" t="str">
        <x:v>Proposed/validate</x:v>
      </x:c>
      <x:c r="E11" s="4" t="str">
        <x:v>Reliability diagnosis</x:v>
      </x:c>
    </x:row>
    <x:row r="12" ht="32" customHeight="1">
      <x:c r="A12" s="4" t="str">
        <x:v>camera_error</x:v>
      </x:c>
      <x:c r="B12" s="4" t="str">
        <x:v>Load fails</x:v>
      </x:c>
      <x:c r="C12" s="4" t="str">
        <x:v>camera_id,host,error_class</x:v>
      </x:c>
      <x:c r="D12" s="4" t="str">
        <x:v>Proposed</x:v>
      </x:c>
      <x:c r="E12" s="4" t="str">
        <x:v>Broken camera repair queue</x:v>
      </x:c>
    </x:row>
    <x:row r="13" ht="32" customHeight="1">
      <x:c r="A13" s="4" t="str">
        <x:v>camera_status_report</x:v>
      </x:c>
      <x:c r="B13" s="4" t="str">
        <x:v>User reports broken/stale camera</x:v>
      </x:c>
      <x:c r="C13" s="4" t="str">
        <x:v>camera_id,report_type</x:v>
      </x:c>
      <x:c r="D13" s="4" t="str">
        <x:v>Proposed; no personal text in analytics</x:v>
      </x:c>
      <x:c r="E13" s="4" t="str">
        <x:v>Human quality signal</x:v>
      </x:c>
    </x:row>
    <x:row r="14" ht="32" customHeight="1">
      <x:c r="A14" s="4" t="str">
        <x:v>favorite_add</x:v>
      </x:c>
      <x:c r="B14" s="4" t="str">
        <x:v>User saves resort locally</x:v>
      </x:c>
      <x:c r="C14" s="4" t="str">
        <x:v>resort_id,number_saved</x:v>
      </x:c>
      <x:c r="D14" s="4" t="str">
        <x:v>Proposed; no account required</x:v>
      </x:c>
      <x:c r="E14" s="4" t="str">
        <x:v>Activation</x:v>
      </x:c>
    </x:row>
    <x:row r="15" ht="32" customHeight="1">
      <x:c r="A15" s="4" t="str">
        <x:v>favorite_remove</x:v>
      </x:c>
      <x:c r="B15" s="4" t="str">
        <x:v>User removes resort</x:v>
      </x:c>
      <x:c r="C15" s="4" t="str">
        <x:v>resort_id</x:v>
      </x:c>
      <x:c r="D15" s="4" t="str">
        <x:v>Proposed</x:v>
      </x:c>
      <x:c r="E15" s="4" t="str">
        <x:v>Favorites quality</x:v>
      </x:c>
    </x:row>
    <x:row r="16" ht="32" customHeight="1">
      <x:c r="A16" s="4" t="str">
        <x:v>favorites_return</x:v>
      </x:c>
      <x:c r="B16" s="4" t="str">
        <x:v>User returns and opens saved resort</x:v>
      </x:c>
      <x:c r="C16" s="4" t="str">
        <x:v>resort_id,days_since_last_visit</x:v>
      </x:c>
      <x:c r="D16" s="4" t="str">
        <x:v>Proposed consent-aware identifier</x:v>
      </x:c>
      <x:c r="E16" s="4" t="str">
        <x:v>Retention / North Star contribution</x:v>
      </x:c>
    </x:row>
    <x:row r="17" ht="32" customHeight="1">
      <x:c r="A17" s="4" t="str">
        <x:v>share_click</x:v>
      </x:c>
      <x:c r="B17" s="4" t="str">
        <x:v>User opens native share/copies URL</x:v>
      </x:c>
      <x:c r="C17" s="4" t="str">
        <x:v>resort_id,camera_id,share_method</x:v>
      </x:c>
      <x:c r="D17" s="4" t="str">
        <x:v>Proposed</x:v>
      </x:c>
      <x:c r="E17" s="4" t="str">
        <x:v>Referral intent, not successful share proof</x:v>
      </x:c>
    </x:row>
    <x:row r="18" ht="32" customHeight="1">
      <x:c r="A18" s="4" t="str">
        <x:v>signup_start</x:v>
      </x:c>
      <x:c r="B18" s="4" t="str">
        <x:v>User opens opt-in form</x:v>
      </x:c>
      <x:c r="C18" s="4" t="str">
        <x:v>offer,placement</x:v>
      </x:c>
      <x:c r="D18" s="4" t="str">
        <x:v>Future only</x:v>
      </x:c>
      <x:c r="E18" s="4" t="str">
        <x:v>Email funnel</x:v>
      </x:c>
    </x:row>
    <x:row r="19" ht="32" customHeight="1">
      <x:c r="A19" s="4" t="str">
        <x:v>signup_confirmed</x:v>
      </x:c>
      <x:c r="B19" s="4" t="str">
        <x:v>Double opt-in confirmed</x:v>
      </x:c>
      <x:c r="C19" s="4" t="str">
        <x:v>offer,consent_version</x:v>
      </x:c>
      <x:c r="D19" s="4" t="str">
        <x:v>Future server event; no raw email in analytics</x:v>
      </x:c>
      <x:c r="E19" s="4" t="str">
        <x:v>Consented audience</x:v>
      </x:c>
    </x:row>
    <x:row r="20" ht="32" customHeight="1">
      <x:c r="A20" s="4" t="str">
        <x:v>premium_offer_view</x:v>
      </x:c>
      <x:c r="B20" s="4" t="str">
        <x:v>Price-specific concept displayed</x:v>
      </x:c>
      <x:c r="C20" s="4" t="str">
        <x:v>offer_id,price,currency</x:v>
      </x:c>
      <x:c r="D20" s="4" t="str">
        <x:v>Experiment only, no current Pro product</x:v>
      </x:c>
      <x:c r="E20" s="4" t="str">
        <x:v>Eligible concept denominator</x:v>
      </x:c>
    </x:row>
    <x:row r="21" ht="32" customHeight="1">
      <x:c r="A21" s="4" t="str">
        <x:v>premium_intent_submit</x:v>
      </x:c>
      <x:c r="B21" s="4" t="str">
        <x:v>User explicitly selects paid-interest option</x:v>
      </x:c>
      <x:c r="C21" s="4" t="str">
        <x:v>offer_id,price</x:v>
      </x:c>
      <x:c r="D21" s="4" t="str">
        <x:v>Experiment only</x:v>
      </x:c>
      <x:c r="E21" s="4" t="str">
        <x:v>Intent not sale</x:v>
      </x:c>
    </x:row>
    <x:row r="22" ht="32" customHeight="1">
      <x:c r="A22" s="4" t="str">
        <x:v>affiliate_click</x:v>
      </x:c>
      <x:c r="B22" s="4" t="str">
        <x:v>User clicks approved commercial link</x:v>
      </x:c>
      <x:c r="C22" s="4" t="str">
        <x:v>program,merchant,resort_id,placement,sub_id</x:v>
      </x:c>
      <x:c r="D22" s="4" t="str">
        <x:v>Future after approval</x:v>
      </x:c>
      <x:c r="E22" s="4" t="str">
        <x:v>Commercial outbound denominator</x:v>
      </x:c>
    </x:row>
    <x:row r="23" ht="32" customHeight="1">
      <x:c r="A23" s="4" t="str">
        <x:v>affiliate_sale_approved</x:v>
      </x:c>
      <x:c r="B23" s="4" t="str">
        <x:v>Network confirms payable conversion</x:v>
      </x:c>
      <x:c r="C23" s="4" t="str">
        <x:v>program,sub_id,net_commission,currency,booking_month</x:v>
      </x:c>
      <x:c r="D23" s="4" t="str">
        <x:v>Import network data; no traveler PII</x:v>
      </x:c>
      <x:c r="E23" s="4" t="str">
        <x:v>Earned revenue, reversal reconciliation</x:v>
      </x:c>
    </x:row>
    <x:row r="24" ht="32" customHeight="1">
      <x:c r="A24" s="4" t="str">
        <x:v>affiliate_sale_reversed</x:v>
      </x:c>
      <x:c r="B24" s="4" t="str">
        <x:v>Network reverses commission</x:v>
      </x:c>
      <x:c r="C24" s="4" t="str">
        <x:v>program,sub_id,net_reversal,reason_class</x:v>
      </x:c>
      <x:c r="D24" s="4" t="str">
        <x:v>Import network data</x:v>
      </x:c>
      <x:c r="E24" s="4" t="str">
        <x:v>Net economics</x:v>
      </x:c>
    </x:row>
    <x:row r="25" ht="32" customHeight="1">
      <x:c r="A25" s="4" t="str">
        <x:v>sponsor_impression</x:v>
      </x:c>
      <x:c r="B25" s="4" t="str">
        <x:v>Visible sponsored slot enters viewport</x:v>
      </x:c>
      <x:c r="C25" s="4" t="str">
        <x:v>sponsor_id,placement,resort_id</x:v>
      </x:c>
      <x:c r="D25" s="4" t="str">
        <x:v>Future, count once per session rules</x:v>
      </x:c>
      <x:c r="E25" s="4" t="str">
        <x:v>Auditable sponsor exposure</x:v>
      </x:c>
    </x:row>
    <x:row r="26" ht="32" customHeight="1">
      <x:c r="A26" s="4" t="str">
        <x:v>sponsor_click</x:v>
      </x:c>
      <x:c r="B26" s="4" t="str">
        <x:v>User clicks labeled sponsor</x:v>
      </x:c>
      <x:c r="C26" s="4" t="str">
        <x:v>sponsor_id,placement,resort_id</x:v>
      </x:c>
      <x:c r="D26" s="4" t="str">
        <x:v>Future</x:v>
      </x:c>
      <x:c r="E26" s="4" t="str">
        <x:v>Partner click report</x:v>
      </x:c>
    </x:row>
    <x:row r="27" ht="32" customHeight="1">
      <x:c r="A27" s="4" t="str">
        <x:v>sponsor_lead</x:v>
      </x:c>
      <x:c r="B27" s="4" t="str">
        <x:v>Merchant confirms qualified referral</x:v>
      </x:c>
      <x:c r="C27" s="4" t="str">
        <x:v>sponsor_id,lead_id,qualification</x:v>
      </x:c>
      <x:c r="D27" s="4" t="str">
        <x:v>Future no sensitive lead detail</x:v>
      </x:c>
      <x:c r="E27" s="4" t="str">
        <x:v>Outcome beyond clicks</x:v>
      </x:c>
    </x:row>
    <x:row r="28" ht="32" customHeight="1">
      <x:c r="A28" s="4" t="str">
        <x:v>consent_update</x:v>
      </x:c>
      <x:c r="B28" s="4" t="str">
        <x:v>Visitor changes consent or opt-out</x:v>
      </x:c>
      <x:c r="C28" s="4" t="str">
        <x:v>consent_version,choices,region_class</x:v>
      </x:c>
      <x:c r="D28" s="4" t="str">
        <x:v>Proposed if applicable</x:v>
      </x:c>
      <x:c r="E28" s="4" t="str">
        <x:v>Privacy controls; minimize logs</x:v>
      </x:c>
    </x:row>
    <x:row r="29" ht="32" customHeight="1">
      <x:c r="A29" s="4" t="str">
        <x:v>subscription_started</x:v>
      </x:c>
      <x:c r="B29" s="4" t="str">
        <x:v>Payment confirmed server-side</x:v>
      </x:c>
      <x:c r="C29" s="4" t="str">
        <x:v>plan_id,net_amount,currency</x:v>
      </x:c>
      <x:c r="D29" s="4" t="str">
        <x:v>Future only after product/legal gates</x:v>
      </x:c>
      <x:c r="E29" s="4" t="str">
        <x:v>Never count frontend checkout click as sale</x:v>
      </x:c>
    </x:row>
    <x:row r="30" ht="32" customHeight="1">
      <x:c r="A30" s="4" t="str">
        <x:v>subscription_canceled</x:v>
      </x:c>
      <x:c r="B30" s="4" t="str">
        <x:v>Cancellation effective</x:v>
      </x:c>
      <x:c r="C30" s="4" t="str">
        <x:v>plan_id,reason_class,effective_date</x:v>
      </x:c>
      <x:c r="D30" s="4" t="str">
        <x:v>Future only</x:v>
      </x:c>
      <x:c r="E30" s="4" t="str">
        <x:v>Churn and cancellation compliance</x:v>
      </x:c>
    </x:row>
  </x:sheetData>
  <x:pageMargins left="0.7" right="0.7" top="0.75" bottom="0.75" header="0.3" footer="0.3"/>
  <x:tableParts count="1">
    <x:tablePart xmlns:r="http://schemas.openxmlformats.org/officeDocument/2006/relationships" r:id="R4c8470fcc0104847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42" hidden="0" customWidth="1"/>
    <x:col min="3" max="3" width="42" hidden="0" customWidth="1"/>
    <x:col min="4" max="4" width="42" hidden="0" customWidth="1"/>
  </x:cols>
  <x:sheetData>
    <x:row r="1" ht="42" customHeight="1">
      <x:c r="A1" s="9" t="str">
        <x:v>Source ID</x:v>
      </x:c>
      <x:c r="B1" s="9" t="str">
        <x:v>Title</x:v>
      </x:c>
      <x:c r="C1" s="9" t="str">
        <x:v>URL</x:v>
      </x:c>
      <x:c r="D1" s="9" t="str">
        <x:v>Evidence / limitation</x:v>
      </x:c>
    </x:row>
    <x:row r="2" ht="32" customHeight="1">
      <x:c r="A2" s="4" t="str">
        <x:v>A01</x:v>
      </x:c>
      <x:c r="B2" s="4" t="str">
        <x:v>Audited dependency manifest</x:v>
      </x:c>
      <x:c r="C2" s="4" t="str">
        <x:v>https://github.com/jaredschueler07/peakcam/blob/61c5f264a6e16c827ff2a7a8654dd6d5a07e809d/package.json</x:v>
      </x:c>
      <x:c r="D2" s="4" t="str">
        <x:v>Connected GitHub read; declared dependencies, not tests executed</x:v>
      </x:c>
    </x:row>
    <x:row r="3" ht="32" customHeight="1">
      <x:c r="A3" s="4" t="str">
        <x:v>A02</x:v>
      </x:c>
      <x:c r="B3" s="4" t="str">
        <x:v>Audited camera catalog</x:v>
      </x:c>
      <x:c r="C3" s="4" t="str">
        <x:v>https://github.com/jaredschueler07/peakcam/blob/61c5f264a6e16c827ff2a7a8654dd6d5a07e809d/data/resorts.json</x:v>
      </x:c>
      <x:c r="D3" s="4" t="str">
        <x:v>Connected GitHub read; three resorts, five entries, two placeholders</x:v>
      </x:c>
    </x:row>
    <x:row r="4" ht="32" customHeight="1">
      <x:c r="A4" s="4" t="str">
        <x:v>A03</x:v>
      </x:c>
      <x:c r="B4" s="4" t="str">
        <x:v>Audited camera renderer</x:v>
      </x:c>
      <x:c r="C4" s="4" t="str">
        <x:v>https://github.com/jaredschueler07/peakcam/blob/61c5f264a6e16c827ff2a7a8654dd6d5a07e809d/components/cams/CamEmbed.tsx</x:v>
      </x:c>
      <x:c r="D4" s="4" t="str">
        <x:v>Connected GitHub read; external links/raw image/iframe; no server proxy</x:v>
      </x:c>
    </x:row>
    <x:row r="5" ht="32" customHeight="1">
      <x:c r="A5" s="4" t="str">
        <x:v>A04</x:v>
      </x:c>
      <x:c r="B5" s="4" t="str">
        <x:v>Audited page metadata and analytics</x:v>
      </x:c>
      <x:c r="C5" s="4" t="str">
        <x:v>https://github.com/jaredschueler07/peakcam/blob/61c5f264a6e16c827ff2a7a8654dd6d5a07e809d/app/layout.tsx</x:v>
      </x:c>
      <x:c r="D5" s="4" t="str">
        <x:v>Connected GitHub read; instrumentation present, usage not retrieved</x:v>
      </x:c>
    </x:row>
    <x:row r="6" ht="32" customHeight="1">
      <x:c r="A6" s="4" t="str">
        <x:v>A05</x:v>
      </x:c>
      <x:c r="B6" s="4" t="str">
        <x:v>Audited product documentation</x:v>
      </x:c>
      <x:c r="C6" s="4" t="str">
        <x:v>https://github.com/jaredschueler07/peakcam/blob/61c5f264a6e16c827ff2a7a8654dd6d5a07e809d/CLAUDE.md</x:v>
      </x:c>
      <x:c r="D6" s="4" t="str">
        <x:v>Connected GitHub read; architecture description cross-checked against files</x:v>
      </x:c>
    </x:row>
    <x:row r="7" ht="32" customHeight="1">
      <x:c r="A7" s="4" t="str">
        <x:v>A06</x:v>
      </x:c>
      <x:c r="B7" s="4" t="str">
        <x:v>Production website</x:v>
      </x:c>
      <x:c r="C7" s="4" t="str">
        <x:v>https://www.peakcam.io</x:v>
      </x:c>
      <x:c r="D7" s="4" t="str">
        <x:v>Vercel read returned HTTP 200; HTML inspection only, not interactive mobile testing</x:v>
      </x:c>
    </x:row>
    <x:row r="8" ht="32" customHeight="1">
      <x:c r="A8" s="4" t="str">
        <x:v>M01</x:v>
      </x:c>
      <x:c r="B8" s="4" t="str">
        <x:v>OpenSnow official current pricing</x:v>
      </x:c>
      <x:c r="C8" s="4" t="str">
        <x:v>https://support.opensnow.com/subscription/how-much-does-opensnow-cost</x:v>
      </x:c>
      <x:c r="D8" s="4" t="str">
        <x:v>Base $49.99/year; Premium $99.99/year</x:v>
      </x:c>
    </x:row>
    <x:row r="9" ht="32" customHeight="1">
      <x:c r="A9" s="4" t="str">
        <x:v>M02</x:v>
      </x:c>
      <x:c r="B9" s="4" t="str">
        <x:v>OnTheSnow app</x:v>
      </x:c>
      <x:c r="C9" s="4" t="str">
        <x:v>https://www.onthesnow.com/news/mobile/</x:v>
      </x:c>
      <x:c r="D9" s="4" t="str">
        <x:v>Free reports, cameras, favorites and powder alerts; vendor coverage claims</x:v>
      </x:c>
    </x:row>
    <x:row r="10" ht="32" customHeight="1">
      <x:c r="A10" s="4" t="str">
        <x:v>M03</x:v>
      </x:c>
      <x:c r="B10" s="4" t="str">
        <x:v>OnTheSnow iOS popularity indicator</x:v>
      </x:c>
      <x:c r="C10" s="4" t="str">
        <x:v>https://apps.apple.com/us/app/onthesnow-ski-snow-report/id300412347</x:v>
      </x:c>
      <x:c r="D10" s="4" t="str">
        <x:v>App rating count is a storefront snapshot, NOT active users</x:v>
      </x:c>
    </x:row>
    <x:row r="11" ht="32" customHeight="1">
      <x:c r="A11" s="4" t="str">
        <x:v>M04</x:v>
      </x:c>
      <x:c r="B11" s="4" t="str">
        <x:v>Snow-Forecast membership</x:v>
      </x:c>
      <x:c r="C11" s="4" t="str">
        <x:v>https://www.snow-forecast.com/pages/membership.php</x:v>
      </x:c>
      <x:c r="D11" s="4" t="str">
        <x:v>Free/premium forecast distinction</x:v>
      </x:c>
    </x:row>
    <x:row r="12" ht="32" customHeight="1">
      <x:c r="A12" s="4" t="str">
        <x:v>M05</x:v>
      </x:c>
      <x:c r="B12" s="4" t="str">
        <x:v>Snow-Forecast localized pricing</x:v>
      </x:c>
      <x:c r="C12" s="4" t="str">
        <x:v>https://www.snow-forecast.com/pages/rewards</x:v>
      </x:c>
      <x:c r="D12" s="4" t="str">
        <x:v>Currency and checkout region affect displayed price</x:v>
      </x:c>
    </x:row>
    <x:row r="13" ht="32" customHeight="1">
      <x:c r="A13" s="4" t="str">
        <x:v>M06</x:v>
      </x:c>
      <x:c r="B13" s="4" t="str">
        <x:v>2025–26 preliminary skier visits</x:v>
      </x:c>
      <x:c r="C13" s="4" t="str">
        <x:v>https://www.snow-forecast.com/whiteroom/us-skier-visits-drop-dramatically-after-poor-snowfall-winter-in-the-west/</x:v>
      </x:c>
      <x:c r="D13" s="4" t="str">
        <x:v>May 6 2026 trade coverage of NSAA: 52.6m visits; secondary, preliminary, not unique skiers</x:v>
      </x:c>
    </x:row>
    <x:row r="14" ht="32" customHeight="1">
      <x:c r="A14" s="4" t="str">
        <x:v>M07</x:v>
      </x:c>
      <x:c r="B14" s="4" t="str">
        <x:v>Prior-season industry context</x:v>
      </x:c>
      <x:c r="C14" s="4" t="str">
        <x:v>https://www.forbes.com/sites/michellebruton/2025/05/30/us-ski-resorts-had-second-best-season-on-record-in-202425/</x:v>
      </x:c>
      <x:c r="D14" s="4" t="str">
        <x:v>2024–25 61.5m visits; do not confuse season or visits with people</x:v>
      </x:c>
    </x:row>
    <x:row r="15" ht="32" customHeight="1">
      <x:c r="A15" s="4" t="str">
        <x:v>V01</x:v>
      </x:c>
      <x:c r="B15" s="4" t="str">
        <x:v>Vercel pricing</x:v>
      </x:c>
      <x:c r="C15" s="4" t="str">
        <x:v>https://vercel.com/pricing</x:v>
      </x:c>
      <x:c r="D15" s="4" t="str">
        <x:v>Public list pricing; actual PeakCam plan and bills not obtained</x:v>
      </x:c>
    </x:row>
    <x:row r="16" ht="32" customHeight="1">
      <x:c r="A16" s="4" t="str">
        <x:v>V02</x:v>
      </x:c>
      <x:c r="B16" s="4" t="str">
        <x:v>Vercel Flat Rate CDN GA September 8 2026</x:v>
      </x:c>
      <x:c r="C16" s="4" t="str">
        <x:v>https://vercel.com/changelog/flat-rate-cdn-is-now-ga-for-pro-teams</x:v>
      </x:c>
      <x:c r="D16" s="4" t="str">
        <x:v>Pro includes 1m requests/1TB; additional $20 10m/50TB, $100 50m/50TB; team level; existing teams must switch</x:v>
      </x:c>
    </x:row>
    <x:row r="17" ht="32" customHeight="1">
      <x:c r="A17" s="4" t="str">
        <x:v>V03</x:v>
      </x:c>
      <x:c r="B17" s="4" t="str">
        <x:v>Vercel fair use</x:v>
      </x:c>
      <x:c r="C17" s="4" t="str">
        <x:v>https://vercel.com/docs/limits/fair-use-guidelines</x:v>
      </x:c>
      <x:c r="D17" s="4" t="str">
        <x:v>Hobby noncommercial; commercial deployment must use appropriate plan</x:v>
      </x:c>
    </x:row>
    <x:row r="18" ht="32" customHeight="1">
      <x:c r="A18" s="4" t="str">
        <x:v>V04</x:v>
      </x:c>
      <x:c r="B18" s="4" t="str">
        <x:v>Stripe payments pricing</x:v>
      </x:c>
      <x:c r="C18" s="4" t="str">
        <x:v>https://stripe.com/pricing</x:v>
      </x:c>
      <x:c r="D18" s="4" t="str">
        <x:v>Standard US domestic cards 2.9% + $0.30; other fees and taxes possible</x:v>
      </x:c>
    </x:row>
    <x:row r="19" ht="32" customHeight="1">
      <x:c r="A19" s="4" t="str">
        <x:v>V05</x:v>
      </x:c>
      <x:c r="B19" s="4" t="str">
        <x:v>Stripe Billing pricing</x:v>
      </x:c>
      <x:c r="C19" s="4" t="str">
        <x:v>https://stripe.com/billing/pricing</x:v>
      </x:c>
      <x:c r="D19" s="4" t="str">
        <x:v>Billing additional usage fee; not included in simple one-time invoice assumption</x:v>
      </x:c>
    </x:row>
    <x:row r="20" ht="32" customHeight="1">
      <x:c r="A20" s="4" t="str">
        <x:v>V06</x:v>
      </x:c>
      <x:c r="B20" s="4" t="str">
        <x:v>Open-Meteo pricing and commercial terms</x:v>
      </x:c>
      <x:c r="C20" s="4" t="str">
        <x:v>https://open-meteo.com/en/pricing</x:v>
      </x:c>
      <x:c r="D20" s="4" t="str">
        <x:v>Free hosted API noncommercial; paid subscription and attribution for commercial service; dollar quote not verified</x:v>
      </x:c>
    </x:row>
    <x:row r="21" ht="32" customHeight="1">
      <x:c r="A21" s="4" t="str">
        <x:v>V07</x:v>
      </x:c>
      <x:c r="B21" s="4" t="str">
        <x:v>Journey minimum requirements</x:v>
      </x:c>
      <x:c r="C21" s="4" t="str">
        <x:v>https://journeymv.zendesk.com/hc/en-us/articles/24633185741723-Journey-Minimum-Requirements</x:v>
      </x:c>
      <x:c r="D21" s="4" t="str">
        <x:v>Updated August 14 2026; 1,000 premium sessions/30 days plus qualitative requirements; not guaranteed acceptance</x:v>
      </x:c>
    </x:row>
    <x:row r="22" ht="32" customHeight="1">
      <x:c r="A22" s="4" t="str">
        <x:v>L01</x:v>
      </x:c>
      <x:c r="B22" s="4" t="str">
        <x:v>IRS free EIN application</x:v>
      </x:c>
      <x:c r="C22" s="4" t="str">
        <x:v>https://www.irs.gov/businesses/small-businesses-self-employed/get-an-employer-identification-number</x:v>
      </x:c>
      <x:c r="D22" s="4" t="str">
        <x:v>Free direct from IRS; form entity before applying for its EIN</x:v>
      </x:c>
    </x:row>
    <x:row r="23" ht="32" customHeight="1">
      <x:c r="A23" s="4" t="str">
        <x:v>L02</x:v>
      </x:c>
      <x:c r="B23" s="4" t="str">
        <x:v>IRS single-member LLC treatment</x:v>
      </x:c>
      <x:c r="C23" s="4" t="str">
        <x:v>https://www.irs.gov/businesses/small-businesses-self-employed/single-member-limited-liability-companies</x:v>
      </x:c>
      <x:c r="D23" s="4" t="str">
        <x:v>Default disregarded entity absent election; not automatic tax savings</x:v>
      </x:c>
    </x:row>
    <x:row r="24" ht="32" customHeight="1">
      <x:c r="A24" s="4" t="str">
        <x:v>L03</x:v>
      </x:c>
      <x:c r="B24" s="4" t="str">
        <x:v>Illinois LLC instructions — illustrative state only</x:v>
      </x:c>
      <x:c r="C24" s="4" t="str">
        <x:v>https://www.ilsos.gov/departments/business-services/organization/llc-instructions.html</x:v>
      </x:c>
      <x:c r="D24" s="4" t="str">
        <x:v>$150 standard formation; $250 expedited; founder operating state NOT established</x:v>
      </x:c>
    </x:row>
    <x:row r="25" ht="32" customHeight="1">
      <x:c r="A25" s="4" t="str">
        <x:v>L04</x:v>
      </x:c>
      <x:c r="B25" s="4" t="str">
        <x:v>FinCEN BOI current rule</x:v>
      </x:c>
      <x:c r="C25" s="4" t="str">
        <x:v>https://www.fincen.gov/boi</x:v>
      </x:c>
      <x:c r="D25" s="4" t="str">
        <x:v>August 2026 final rule exempts US-created entities; foreign-company rules differ</x:v>
      </x:c>
    </x:row>
    <x:row r="26" ht="32" customHeight="1">
      <x:c r="A26" s="4" t="str">
        <x:v>L05</x:v>
      </x:c>
      <x:c r="B26" s="4" t="str">
        <x:v>FTC negative-option rulemaking March 2026</x:v>
      </x:c>
      <x:c r="C26" s="4" t="str">
        <x:v>https://www.ftc.gov/news-events/news/press-releases/2026/03/ftc-seeks-public-comment-response-advance-notice-proposed-rulemaking-regarding-negative-option</x:v>
      </x:c>
      <x:c r="D26" s="4" t="str">
        <x:v>2024 rule vacated; 2026 proceeding not a final nationwide click-to-cancel rule</x:v>
      </x:c>
    </x:row>
    <x:row r="27" ht="32" customHeight="1">
      <x:c r="A27" s="4" t="str">
        <x:v>L06</x:v>
      </x:c>
      <x:c r="B27" s="4" t="str">
        <x:v>California automatic renewal law alert</x:v>
      </x:c>
      <x:c r="C27" s="4" t="str">
        <x:v>https://oag.ca.gov/news/press-releases/attorney-general-bonta-issues-consumer-alert-california%E2%80%99s-automatic-renewal-law</x:v>
      </x:c>
      <x:c r="D27" s="4" t="str">
        <x:v>Rules effective July 1 2025; consent, notices and cancellation obligations</x:v>
      </x:c>
    </x:row>
    <x:row r="28" ht="32" customHeight="1">
      <x:c r="A28" s="4" t="str">
        <x:v>L07</x:v>
      </x:c>
      <x:c r="B28" s="4" t="str">
        <x:v>California CCPA guidance</x:v>
      </x:c>
      <x:c r="C28" s="4" t="str">
        <x:v>https://www.oag.ca.gov/privacy/ccpa</x:v>
      </x:c>
      <x:c r="D28" s="4" t="str">
        <x:v>Applicability requires threshold and data-practice analysis; do not assume all small sites exempt</x:v>
      </x:c>
    </x:row>
    <x:row r="29" ht="32" customHeight="1">
      <x:c r="A29" s="4" t="str">
        <x:v>L08</x:v>
      </x:c>
      <x:c r="B29" s="4" t="str">
        <x:v>FTC CAN-SPAM compliance</x:v>
      </x:c>
      <x:c r="C29" s="4" t="str">
        <x:v>https://www.ftc.gov/business-guidance/resources/can-spam-act-compliance-guide-business</x:v>
      </x:c>
      <x:c r="D29" s="4" t="str">
        <x:v>B2B commercial email covered; accurate sender, postal address and opt-out</x:v>
      </x:c>
    </x:row>
    <x:row r="30" ht="32" customHeight="1">
      <x:c r="A30" s="4" t="str">
        <x:v>L09</x:v>
      </x:c>
      <x:c r="B30" s="4" t="str">
        <x:v>FTC advertising disclosures</x:v>
      </x:c>
      <x:c r="C30" s="4" t="str">
        <x:v>https://www.ftc.gov/business-guidance/resources/disclosures-101-social-media-influencers</x:v>
      </x:c>
      <x:c r="D30" s="4" t="str">
        <x:v>Clear conspicuous material-connection disclosures</x:v>
      </x:c>
    </x:row>
    <x:row r="31" ht="32" customHeight="1">
      <x:c r="A31" s="4" t="str">
        <x:v>L10</x:v>
      </x:c>
      <x:c r="B31" s="4" t="str">
        <x:v>FTC COPPA rule</x:v>
      </x:c>
      <x:c r="C31" s="4" t="str">
        <x:v>https://www.ftc.gov/legal-library/browse/rules/childrens-online-privacy-protection-rule-coppa</x:v>
      </x:c>
      <x:c r="D31" s="4" t="str">
        <x:v>Child-directed services and actual knowledge; under-13 personal information</x:v>
      </x:c>
    </x:row>
    <x:row r="32" ht="32" customHeight="1">
      <x:c r="A32" s="4" t="str">
        <x:v>L11</x:v>
      </x:c>
      <x:c r="B32" s="4" t="str">
        <x:v>DOJ website accessibility</x:v>
      </x:c>
      <x:c r="C32" s="4" t="str">
        <x:v>https://www.ada.gov/resources/web-guidance/</x:v>
      </x:c>
      <x:c r="D32" s="4" t="str">
        <x:v>Private business accessibility and public-entity rules must not be conflated</x:v>
      </x:c>
    </x:row>
    <x:row r="33" ht="32" customHeight="1">
      <x:c r="A33" s="4" t="str">
        <x:v>L12</x:v>
      </x:c>
      <x:c r="B33" s="4" t="str">
        <x:v>USPTO trademark fees</x:v>
      </x:c>
      <x:c r="C33" s="4" t="str">
        <x:v>https://www.uspto.gov/trademarks/trademark-fee-information</x:v>
      </x:c>
      <x:c r="D33" s="4" t="str">
        <x:v>Base application $350/class; additional fees possible; no clearance opinion performed</x:v>
      </x:c>
    </x:row>
    <x:row r="34" ht="32" customHeight="1">
      <x:c r="A34" s="4" t="str">
        <x:v>L13</x:v>
      </x:c>
      <x:c r="B34" s="4" t="str">
        <x:v>Embedding copyright legal analysis</x:v>
      </x:c>
      <x:c r="C34" s="4" t="str">
        <x:v>https://www.msk.com/newsroom-alerts-embedding-copyright</x:v>
      </x:c>
      <x:c r="D34" s="4" t="str">
        <x:v>Secondary legal analysis; server test is not a blanket national embedding safe harbor</x:v>
      </x:c>
    </x:row>
    <x:row r="35" ht="32" customHeight="1">
      <x:c r="A35" s="4" t="str">
        <x:v>L14</x:v>
      </x:c>
      <x:c r="B35" s="4" t="str">
        <x:v>YouTube developer policy guide</x:v>
      </x:c>
      <x:c r="C35" s="4" t="str">
        <x:v>https://developers.google.com/youtube/terms/developer-policies-guide</x:v>
      </x:c>
      <x:c r="D35" s="4" t="str">
        <x:v>Applies where using YouTube API services; preserve player restrictions and branding; check embed terms too</x:v>
      </x:c>
    </x:row>
    <x:row r="36" ht="32" customHeight="1">
      <x:c r="A36" s="4" t="str">
        <x:v>L15</x:v>
      </x:c>
      <x:c r="B36" s="4" t="str">
        <x:v>US government copyright caveats</x:v>
      </x:c>
      <x:c r="C36" s="4" t="str">
        <x:v>https://www.doi.gov/copyright</x:v>
      </x:c>
      <x:c r="D36" s="4" t="str">
        <x:v>Government works may be public domain; third-party content and marks can remain protected</x:v>
      </x:c>
    </x:row>
    <x:row r="37" ht="32" customHeight="1">
      <x:c r="A37" s="4" t="str">
        <x:v>G01</x:v>
      </x:c>
      <x:c r="B37" s="4" t="str">
        <x:v>Google scaled-content policy explanation</x:v>
      </x:c>
      <x:c r="C37" s="4" t="str">
        <x:v>https://blog.google/products-and-platforms/products/search/google-search-update-march-2024/</x:v>
      </x:c>
      <x:c r="D37" s="4" t="str">
        <x:v>Do not mass-publish low-value pages for rankings</x:v>
      </x:c>
    </x:row>
    <x:row r="38" ht="32" customHeight="1">
      <x:c r="A38" s="4" t="str">
        <x:v>P01</x:v>
      </x:c>
      <x:c r="B38" s="4" t="str">
        <x:v>Roundshot sharing partner announcement June 30 2026</x:v>
      </x:c>
      <x:c r="C38" s="4" t="str">
        <x:v>https://www.roundshot.com/en/messages.html/21/news/946</x:v>
      </x:c>
      <x:c r="D38" s="4" t="str">
        <x:v>Real upstream distribution precedent; NOT approval for PeakCam</x:v>
      </x:c>
    </x:row>
    <x:row r="39" ht="32" customHeight="1">
      <x:c r="A39" s="4" t="str">
        <x:v>P02</x:v>
      </x:c>
      <x:c r="B39" s="4" t="str">
        <x:v>Ski.com affiliate program</x:v>
      </x:c>
      <x:c r="C39" s="4" t="str">
        <x:v>https://www.ski.com/affiliates</x:v>
      </x:c>
      <x:c r="D39" s="4" t="str">
        <x:v>Real publisher program; commission and acceptance not verified for PeakCam</x:v>
      </x:c>
    </x:row>
    <x:row r="40" ht="32" customHeight="1">
      <x:c r="A40" s="4" t="str">
        <x:v>P03</x:v>
      </x:c>
      <x:c r="B40" s="4" t="str">
        <x:v>evo affiliate program</x:v>
      </x:c>
      <x:c r="C40" s="4" t="str">
        <x:v>https://www.evo.com/pages/affiliate-program</x:v>
      </x:c>
      <x:c r="D40" s="4" t="str">
        <x:v>Public program; 5% and 30-day terms subject to contract and exclusions</x:v>
      </x:c>
    </x:row>
    <x:row r="41" ht="32" customHeight="1">
      <x:c r="A41" s="4" t="str">
        <x:v>P04</x:v>
      </x:c>
      <x:c r="B41" s="4" t="str">
        <x:v>Backcountry affiliate program</x:v>
      </x:c>
      <x:c r="C41" s="4" t="str">
        <x:v>https://www.backcountry.com/info/affiliate-program</x:v>
      </x:c>
      <x:c r="D41" s="4" t="str">
        <x:v>8% base / 30 days published; not all purchases necessarily eligible</x:v>
      </x:c>
    </x:row>
    <x:row r="42" ht="32" customHeight="1">
      <x:c r="A42" s="4" t="str">
        <x:v>P05</x:v>
      </x:c>
      <x:c r="B42" s="4" t="str">
        <x:v>Expedia Group affiliate program</x:v>
      </x:c>
      <x:c r="C42" s="4" t="str">
        <x:v>https://www.affiliates.expediagroup.com/</x:v>
      </x:c>
      <x:c r="D42" s="4" t="str">
        <x:v>Up to 4% qualifying bookings; actual product/account rules control</x:v>
      </x:c>
    </x:row>
    <x:row r="43" ht="32" customHeight="1">
      <x:c r="A43" s="4" t="str">
        <x:v>P06</x:v>
      </x:c>
      <x:c r="B43" s="4" t="str">
        <x:v>Booking.com current affiliate signup</x:v>
      </x:c>
      <x:c r="C43" s="4" t="str">
        <x:v>https://www.booking.com/affiliate-program/v2/index.html</x:v>
      </x:c>
      <x:c r="D43" s="4" t="str">
        <x:v>Current signup route; no historical commission-share tiers assumed</x:v>
      </x:c>
    </x:row>
    <x:row r="44" ht="32" customHeight="1">
      <x:c r="A44" s="4" t="str">
        <x:v>P07</x:v>
      </x:c>
      <x:c r="B44" s="4" t="str">
        <x:v>Weston affiliate program</x:v>
      </x:c>
      <x:c r="C44" s="4" t="str">
        <x:v>https://westonbackcountry.com/pages/weston-affiliate-program</x:v>
      </x:c>
      <x:c r="D44" s="4" t="str">
        <x:v>6% / 30 days through AvantLink, subject to approval</x:v>
      </x:c>
    </x:row>
    <x:row r="45" ht="32" customHeight="1">
      <x:c r="A45" s="4" t="str">
        <x:v>P08</x:v>
      </x:c>
      <x:c r="B45" s="4" t="str">
        <x:v>Snow Peak affiliate program</x:v>
      </x:c>
      <x:c r="C45" s="4" t="str">
        <x:v>https://www.snowpeak.com/pages/affiliates</x:v>
      </x:c>
      <x:c r="D45" s="4" t="str">
        <x:v>Content partners 6%, coupon partners 2%, 30 days</x:v>
      </x:c>
    </x:row>
    <x:row r="46" ht="32" customHeight="1">
      <x:c r="A46" s="4" t="str">
        <x:v>P09</x:v>
      </x:c>
      <x:c r="B46" s="4" t="str">
        <x:v>DiscoverCars affiliate economics</x:v>
      </x:c>
      <x:c r="C46" s="4" t="str">
        <x:v>https://www.discovercars.com/pl/affiliate</x:v>
      </x:c>
      <x:c r="D46" s="4" t="str">
        <x:v>70% rental PROFIT and 30% Full Coverage revenue, not 70% booking price</x:v>
      </x:c>
    </x:row>
    <x:row r="47" ht="32" customHeight="1">
      <x:c r="A47" s="4" t="str">
        <x:v>P10</x:v>
      </x:c>
      <x:c r="B47" s="4" t="str">
        <x:v>GoPro localized affiliate terms</x:v>
      </x:c>
      <x:c r="C47" s="4" t="str">
        <x:v>https://gopro.com/en/dk/legal/gopro-affiliate-program</x:v>
      </x:c>
      <x:c r="D47" s="4" t="str">
        <x:v>3% on localized official page; US terms need recheck</x:v>
      </x:c>
    </x:row>
    <x:row r="48" ht="32" customHeight="1">
      <x:c r="A48" s="4" t="str">
        <x:v>P11</x:v>
      </x:c>
      <x:c r="B48" s="4" t="str">
        <x:v>CamStreamer integrator directory</x:v>
      </x:c>
      <x:c r="C48" s="4" t="str">
        <x:v>https://camstreamer.com/partners</x:v>
      </x:c>
      <x:c r="D48" s="4" t="str">
        <x:v>Integrators are discovery leads, NOT verified ski-resort clients or footage licensors</x:v>
      </x:c>
    </x:row>
    <x:row r="49" ht="48" customHeight="1">
      <x:c r="A49" s="3" t="str">
        <x:v>M08</x:v>
      </x:c>
      <x:c r="B49" s="3" t="str">
        <x:v>SnowStash camera-centric resort page</x:v>
      </x:c>
      <x:c r="C49" s="3" t="str">
        <x:v>https://snowstash.com/usa/california/sugar-bowl/snow-cams</x:v>
      </x:c>
      <x:c r="D49" s="3" t="str">
        <x:v>Observed web-camera page, angle descriptions and trip modules; pricing/traffic not verified</x:v>
      </x:c>
    </x:row>
  </x:sheetData>
  <x:pageMargins left="0.7" right="0.7" top="0.75" bottom="0.75" header="0.3" footer="0.3"/>
  <x:tableParts count="1">
    <x:tablePart xmlns:r="http://schemas.openxmlformats.org/officeDocument/2006/relationships" r:id="Raf66a8180a574ce6"/>
  </x:tableParts>
</x:worksheet>
</file>