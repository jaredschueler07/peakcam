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ba7677836b4785" /></Relationships>
</file>

<file path=xl/workbook.xml><?xml version="1.0" encoding="utf-8"?>
<x:workbook xmlns:x="http://schemas.openxmlformats.org/spreadsheetml/2006/main">
  <x:sheets>
    <x:sheet xmlns:r="http://schemas.openxmlformats.org/officeDocument/2006/relationships" name="Start Here" sheetId="1" r:id="Ra0e7288287c34d78"/>
    <x:sheet xmlns:r="http://schemas.openxmlformats.org/officeDocument/2006/relationships" name="Prospects" sheetId="2" r:id="R12b03a3d590046a0"/>
    <x:sheet xmlns:r="http://schemas.openxmlformats.org/officeDocument/2006/relationships" name="First 25" sheetId="3" r:id="Rc999153581f844c5"/>
    <x:sheet xmlns:r="http://schemas.openxmlformats.org/officeDocument/2006/relationships" name="First 25 Drafts" sheetId="4" r:id="R5bf56adab3544f21"/>
    <x:sheet xmlns:r="http://schemas.openxmlformats.org/officeDocument/2006/relationships" name="First 20 Resorts" sheetId="5" r:id="R6c9a12228e084647"/>
    <x:sheet xmlns:r="http://schemas.openxmlformats.org/officeDocument/2006/relationships" name="Pipeline Dashboard" sheetId="6" r:id="R191839c777c247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name val="Carlito"/>
    </x:font>
    <x:font>
      <x:b/>
      <x:sz val="10"/>
      <x:color rgb="FFFFFFFF"/>
      <x:name val="Carlito"/>
    </x:font>
  </x:fonts>
  <x:fills count="3">
    <x:fill>
      <x:patternFill patternType="none"/>
    </x:fill>
    <x:fill>
      <x:patternFill patternType="gray125"/>
    </x:fill>
    <x:fill>
      <x:patternFill patternType="solid">
        <x:fgColor rgb="FF16324F"/>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0e7271e34c4083" /><Relationship Type="http://schemas.openxmlformats.org/officeDocument/2006/relationships/theme" Target="/xl/theme/theme1.xml" Id="R21f312ba6bb84980" /><Relationship Type="http://schemas.openxmlformats.org/officeDocument/2006/relationships/sharedStrings" Target="/xl/sharedStrings.xml" Id="Rc3e3c4fc2d7b4274" /><Relationship Type="http://schemas.openxmlformats.org/officeDocument/2006/relationships/worksheet" Target="/xl/worksheets/sheet1.xml" Id="Ra0e7288287c34d78" /><Relationship Type="http://schemas.openxmlformats.org/officeDocument/2006/relationships/worksheet" Target="/xl/worksheets/sheet2.xml" Id="R12b03a3d590046a0" /><Relationship Type="http://schemas.openxmlformats.org/officeDocument/2006/relationships/worksheet" Target="/xl/worksheets/sheet3.xml" Id="Rc999153581f844c5" /><Relationship Type="http://schemas.openxmlformats.org/officeDocument/2006/relationships/worksheet" Target="/xl/worksheets/sheet4.xml" Id="R5bf56adab3544f21" /><Relationship Type="http://schemas.openxmlformats.org/officeDocument/2006/relationships/worksheet" Target="/xl/worksheets/sheet5.xml" Id="R6c9a12228e084647" /><Relationship Type="http://schemas.openxmlformats.org/officeDocument/2006/relationships/worksheet" Target="/xl/worksheets/sheet6.xml" Id="R191839c777c24712" /></Relationships>
</file>

<file path=xl/tables/table1.xml><?xml version="1.0" encoding="utf-8"?>
<x:table xmlns:x="http://schemas.openxmlformats.org/spreadsheetml/2006/main" id="1" name="StartHereTable" displayName="StartHereTable" ref="A1:B15" headerRowCount="1" totalsRowCount="0" totalsRowShown="0">
  <x:tableColumns count="2">
    <x:tableColumn id="1" name="Item"/>
    <x:tableColumn id="2" name="Instruction"/>
  </x:tableColumns>
  <x:tableStyleInfo name="TableStyleMedium2" showFirstColumn="0" showLastColumn="0" showRowStripes="1" showColumnStripes="0"/>
</x:table>
</file>

<file path=xl/tables/table2.xml><?xml version="1.0" encoding="utf-8"?>
<x:table xmlns:x="http://schemas.openxmlformats.org/spreadsheetml/2006/main" id="2" name="ProspectsTable" displayName="ProspectsTable" ref="A1:AL101" headerRowCount="1" totalsRowCount="0" totalsRowShown="0">
  <x:tableColumns count="38">
    <x:tableColumn id="1" name="Field"/>
    <x:tableColumn id="2" name="Priority"/>
    <x:tableColumn id="3" name="Company"/>
    <x:tableColumn id="4" name="Category"/>
    <x:tableColumn id="5" name="Location"/>
    <x:tableColumn id="6" name="Website"/>
    <x:tableColumn id="7" name="Contact Person"/>
    <x:tableColumn id="8" name="Contact Title"/>
    <x:tableColumn id="9" name="Relevant Team"/>
    <x:tableColumn id="10" name="Public Email"/>
    <x:tableColumn id="11" name="Partnership/Advertising Email"/>
    <x:tableColumn id="12" name="Phone"/>
    <x:tableColumn id="13" name="Contact URL"/>
    <x:tableColumn id="14" name="LinkedIn"/>
    <x:tableColumn id="15" name="Recommended Pitch"/>
    <x:tableColumn id="16" name="Potential Revenue Model"/>
    <x:tableColumn id="17" name="Estimated Deal Value"/>
    <x:tableColumn id="18" name="Probability of Response"/>
    <x:tableColumn id="19" name="Difficulty"/>
    <x:tableColumn id="20" name="Recommended Contact Date"/>
    <x:tableColumn id="21" name="Follow-Up Date"/>
    <x:tableColumn id="22" name="Status"/>
    <x:tableColumn id="23" name="Notes"/>
    <x:tableColumn id="24" name="Why this organization"/>
    <x:tableColumn id="25" name="Response score"/>
    <x:tableColumn id="26" name="Strategic fit score"/>
    <x:tableColumn id="27" name="Revenue score"/>
    <x:tableColumn id="28" name="Ease score"/>
    <x:tableColumn id="29" name="Speed score"/>
    <x:tableColumn id="30" name="Priority score"/>
    <x:tableColumn id="31" name="First 25 Rank"/>
    <x:tableColumn id="32" name="First 20 Resort Rank"/>
    <x:tableColumn id="33" name="Source URL"/>
    <x:tableColumn id="34" name="Additional Source URL"/>
    <x:tableColumn id="35" name="Researched Date"/>
    <x:tableColumn id="36" name="Verification / caveat"/>
    <x:tableColumn id="37" name="Subject"/>
    <x:tableColumn id="38" name="Suggested First Message"/>
  </x:tableColumns>
  <x:tableStyleInfo name="TableStyleMedium2" showFirstColumn="0" showLastColumn="0" showRowStripes="1" showColumnStripes="0"/>
</x:table>
</file>

<file path=xl/tables/table3.xml><?xml version="1.0" encoding="utf-8"?>
<x:table xmlns:x="http://schemas.openxmlformats.org/spreadsheetml/2006/main" id="3" name="First25Table" displayName="First25Table" ref="A1:K26" headerRowCount="1" totalsRowCount="0" totalsRowShown="0">
  <x:tableColumns count="11">
    <x:tableColumn id="1" name="Rank"/>
    <x:tableColumn id="2" name="Company"/>
    <x:tableColumn id="3" name="Person / team"/>
    <x:tableColumn id="4" name="Public channel"/>
    <x:tableColumn id="5" name="Why"/>
    <x:tableColumn id="6" name="Offer"/>
    <x:tableColumn id="7" name="Ask"/>
    <x:tableColumn id="8" name="Potential value"/>
    <x:tableColumn id="9" name="Email subject"/>
    <x:tableColumn id="10" name="Source"/>
    <x:tableColumn id="11" name="Caveat"/>
  </x:tableColumns>
  <x:tableStyleInfo name="TableStyleMedium2" showFirstColumn="0" showLastColumn="0" showRowStripes="1" showColumnStripes="0"/>
</x:table>
</file>

<file path=xl/tables/table4.xml><?xml version="1.0" encoding="utf-8"?>
<x:table xmlns:x="http://schemas.openxmlformats.org/spreadsheetml/2006/main" id="4" name="First25DraftsTable" displayName="First25DraftsTable" ref="A1:F26" headerRowCount="1" totalsRowCount="0" totalsRowShown="0">
  <x:tableColumns count="6">
    <x:tableColumn id="1" name="Rank"/>
    <x:tableColumn id="2" name="Company"/>
    <x:tableColumn id="3" name="Cold email draft"/>
    <x:tableColumn id="4" name="LinkedIn draft (no verified profile assumed)"/>
    <x:tableColumn id="5" name="Follow-up strategy"/>
    <x:tableColumn id="6" name="Public source"/>
  </x:tableColumns>
  <x:tableStyleInfo name="TableStyleMedium2" showFirstColumn="0" showLastColumn="0" showRowStripes="1" showColumnStripes="0"/>
</x:table>
</file>

<file path=xl/tables/table5.xml><?xml version="1.0" encoding="utf-8"?>
<x:table xmlns:x="http://schemas.openxmlformats.org/spreadsheetml/2006/main" id="5" name="First20ResortsTable" displayName="First20ResortsTable" ref="A1:F21" headerRowCount="1" totalsRowCount="0" totalsRowShown="0">
  <x:tableColumns count="6">
    <x:tableColumn id="1" name="Rank"/>
    <x:tableColumn id="2" name="Company"/>
    <x:tableColumn id="3" name="Public email"/>
    <x:tableColumn id="4" name="Phone"/>
    <x:tableColumn id="5" name="Contact source"/>
    <x:tableColumn id="6" name="Why"/>
  </x:tableColumns>
  <x:tableStyleInfo name="TableStyleMedium2" showFirstColumn="0" showLastColumn="0" showRowStripes="1" showColumnStripes="0"/>
</x:table>
</file>

<file path=xl/tables/table6.xml><?xml version="1.0" encoding="utf-8"?>
<x:table xmlns:x="http://schemas.openxmlformats.org/spreadsheetml/2006/main" id="6" name="PipelineDashboardTable" displayName="PipelineDashboardTable" ref="A1:B13" headerRowCount="1" totalsRowCount="0" totalsRowShown="0">
  <x:tableColumns count="2">
    <x:tableColumn id="1" name="Metric"/>
    <x:tableColumn id="2" name="Value / 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d597964d054be4" /></Relationships>
</file>

<file path=xl/worksheets/_rels/sheet2.xml.rels>&#65279;<?xml version="1.0" encoding="utf-8"?><Relationships xmlns="http://schemas.openxmlformats.org/package/2006/relationships"><Relationship Type="http://schemas.openxmlformats.org/officeDocument/2006/relationships/table" Target="/xl/tables/table2.xml" Id="Rbfb517a67e39448b" /></Relationships>
</file>

<file path=xl/worksheets/_rels/sheet3.xml.rels>&#65279;<?xml version="1.0" encoding="utf-8"?><Relationships xmlns="http://schemas.openxmlformats.org/package/2006/relationships"><Relationship Type="http://schemas.openxmlformats.org/officeDocument/2006/relationships/table" Target="/xl/tables/table3.xml" Id="R87adedb058344136" /></Relationships>
</file>

<file path=xl/worksheets/_rels/sheet4.xml.rels>&#65279;<?xml version="1.0" encoding="utf-8"?><Relationships xmlns="http://schemas.openxmlformats.org/package/2006/relationships"><Relationship Type="http://schemas.openxmlformats.org/officeDocument/2006/relationships/table" Target="/xl/tables/table4.xml" Id="R50429b56c51342b8" /></Relationships>
</file>

<file path=xl/worksheets/_rels/sheet5.xml.rels>&#65279;<?xml version="1.0" encoding="utf-8"?><Relationships xmlns="http://schemas.openxmlformats.org/package/2006/relationships"><Relationship Type="http://schemas.openxmlformats.org/officeDocument/2006/relationships/table" Target="/xl/tables/table5.xml" Id="Ra806f704ef234d1d" /></Relationships>
</file>

<file path=xl/worksheets/_rels/sheet6.xml.rels>&#65279;<?xml version="1.0" encoding="utf-8"?><Relationships xmlns="http://schemas.openxmlformats.org/package/2006/relationships"><Relationship Type="http://schemas.openxmlformats.org/officeDocument/2006/relationships/table" Target="/xl/tables/table6.xml" Id="R2db849f5439d4607" /></Relationships>
</file>

<file path=xl/worksheets/sheet1.xml><?xml version="1.0" encoding="utf-8"?>
<x:worksheet xmlns:x="http://schemas.openxmlformats.org/spreadsheetml/2006/main">
  <x:sheetFormatPr defaultRowHeight="15"/>
  <x:cols>
    <x:col min="1" max="1" width="30" hidden="0" customWidth="1"/>
    <x:col min="2" max="2" width="105" hidden="0" customWidth="1"/>
  </x:cols>
  <x:sheetData>
    <x:row r="1" ht="42" customHeight="1">
      <x:c r="A1" s="9" t="str">
        <x:v>Item</x:v>
      </x:c>
      <x:c r="B1" s="9" t="str">
        <x:v>Instruction</x:v>
      </x:c>
    </x:row>
    <x:row r="2" ht="40" customHeight="1">
      <x:c r="A2" s="4" t="str">
        <x:v>Portfolio date</x:v>
      </x:c>
      <x:c r="B2" s="4" t="str">
        <x:v>September 9, 2026; reverify source before each contact</x:v>
      </x:c>
    </x:row>
    <x:row r="3" ht="40" customHeight="1">
      <x:c r="A3" s="4" t="str">
        <x:v>Accounts</x:v>
      </x:c>
      <x:c r="B3" s="4" t="str">
        <x:v>100 researched organizations; not 100 confirmed buyers or email-verified decision makers</x:v>
      </x:c>
    </x:row>
    <x:row r="4" ht="40" customHeight="1">
      <x:c r="A4" s="4" t="str">
        <x:v>Start</x:v>
      </x:c>
      <x:c r="B4" s="4" t="str">
        <x:v>Use First 25; send five thoughtful contacts per batch after camera repairs</x:v>
      </x:c>
    </x:row>
    <x:row r="5" ht="40" customHeight="1">
      <x:c r="A5" s="4" t="str">
        <x:v>Public channels</x:v>
      </x:c>
      <x:c r="B5" s="4" t="str">
        <x:v>N/A = not reliably verified. General inbox/phone may be only a routing contact</x:v>
      </x:c>
    </x:row>
    <x:row r="6" ht="40" customHeight="1">
      <x:c r="A6" s="4" t="str">
        <x:v>No authorization to send</x:v>
      </x:c>
      <x:c r="B6" s="4" t="str">
        <x:v>Prepared drafts only. No emails, DMs, calls or account applications were sent</x:v>
      </x:c>
    </x:row>
    <x:row r="7" ht="40" customHeight="1">
      <x:c r="A7" s="4" t="str">
        <x:v>Priority score</x:v>
      </x:c>
      <x:c r="B7" s="4" t="str">
        <x:v>Response × fit × revenue × ease × speed, each subjective 1–5. Not a close probability</x:v>
      </x:c>
    </x:row>
    <x:row r="8" ht="40" customHeight="1">
      <x:c r="A8" s="4" t="str">
        <x:v>First 25 judgment</x:v>
      </x:c>
      <x:c r="B8" s="4" t="str">
        <x:v>Includes source/rights dependencies even when short-term revenue score is lower</x:v>
      </x:c>
    </x:row>
    <x:row r="9" ht="40" customHeight="1">
      <x:c r="A9" s="4" t="str">
        <x:v>Status</x:v>
      </x:c>
      <x:c r="B9" s="4" t="str">
        <x:v>Research ready → verified → contacted → replied → qualified → pilot → active → renewed / lost</x:v>
      </x:c>
    </x:row>
    <x:row r="10" ht="40" customHeight="1">
      <x:c r="A10" s="4" t="str">
        <x:v>Cadence</x:v>
      </x:c>
      <x:c r="B10" s="4" t="str">
        <x:v>Day 0; day 7 useful follow-up; day 16 close-the-loop; stop on opt-out or no fit</x:v>
      </x:c>
    </x:row>
    <x:row r="11" ht="40" customHeight="1">
      <x:c r="A11" s="4" t="str">
        <x:v>Disclosures</x:v>
      </x:c>
      <x:c r="B11" s="4" t="str">
        <x:v>Use accurate identity, business postal address and opt-out; do not add prospects to newsletter</x:v>
      </x:c>
    </x:row>
    <x:row r="12" ht="40" customHeight="1">
      <x:c r="A12" s="4" t="str">
        <x:v>Confidentiality</x:v>
      </x:c>
      <x:c r="B12" s="4" t="str">
        <x:v>Public business details only. Sources and stale/secondary-route caveats are preserved</x:v>
      </x:c>
    </x:row>
    <x:row r="13" ht="40" customHeight="1">
      <x:c r="A13" s="4" t="str">
        <x:v>Spreadsheet use</x:v>
      </x:c>
      <x:c r="B13" s="4" t="str">
        <x:v>Filter by category/priority/date; freeze first columns; long notes remain fully available in cells</x:v>
      </x:c>
    </x:row>
    <x:row r="14" ht="40" customHeight="1">
      <x:c r="A14" s="4" t="str">
        <x:v>Founder fields</x:v>
      </x:c>
      <x:c r="B14" s="4" t="str">
        <x:v>Replace business email/postal address, actual metrics and current coverage before sending</x:v>
      </x:c>
    </x:row>
    <x:row r="15" ht="40" customHeight="1">
      <x:c r="A15" s="4" t="str">
        <x:v>Forecasts</x:v>
      </x:c>
      <x:c r="B15" s="4" t="str">
        <x:v>Deal values and response ranges are assumptions, not quoted offers or statistically measured rates</x:v>
      </x:c>
    </x:row>
  </x:sheetData>
  <x:pageMargins left="0.7" right="0.7" top="0.75" bottom="0.75" header="0.3" footer="0.3"/>
  <x:tableParts count="1">
    <x:tablePart xmlns:r="http://schemas.openxmlformats.org/officeDocument/2006/relationships" r:id="R03d597964d054be4"/>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48"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48" hidden="0" customWidth="1"/>
    <x:col min="24" max="24" width="48"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48" hidden="0" customWidth="1"/>
    <x:col min="37" max="37" width="24" hidden="0" customWidth="1"/>
    <x:col min="38" max="38" width="48" hidden="0" customWidth="1"/>
  </x:cols>
  <x:sheetData>
    <x:row r="1" ht="42" customHeight="1">
      <x:c r="A1" s="9" t="str">
        <x:v>Field</x:v>
      </x:c>
      <x:c r="B1" s="9" t="str">
        <x:v>Priority</x:v>
      </x:c>
      <x:c r="C1" s="9" t="str">
        <x:v>Company</x:v>
      </x:c>
      <x:c r="D1" s="9" t="str">
        <x:v>Category</x:v>
      </x:c>
      <x:c r="E1" s="9" t="str">
        <x:v>Location</x:v>
      </x:c>
      <x:c r="F1" s="9" t="str">
        <x:v>Website</x:v>
      </x:c>
      <x:c r="G1" s="9" t="str">
        <x:v>Contact Person</x:v>
      </x:c>
      <x:c r="H1" s="9" t="str">
        <x:v>Contact Title</x:v>
      </x:c>
      <x:c r="I1" s="9" t="str">
        <x:v>Relevant Team</x:v>
      </x:c>
      <x:c r="J1" s="9" t="str">
        <x:v>Public Email</x:v>
      </x:c>
      <x:c r="K1" s="9" t="str">
        <x:v>Partnership/Advertising Email</x:v>
      </x:c>
      <x:c r="L1" s="9" t="str">
        <x:v>Phone</x:v>
      </x:c>
      <x:c r="M1" s="9" t="str">
        <x:v>Contact URL</x:v>
      </x:c>
      <x:c r="N1" s="9" t="str">
        <x:v>LinkedIn</x:v>
      </x:c>
      <x:c r="O1" s="9" t="str">
        <x:v>Recommended Pitch</x:v>
      </x:c>
      <x:c r="P1" s="9" t="str">
        <x:v>Potential Revenue Model</x:v>
      </x:c>
      <x:c r="Q1" s="9" t="str">
        <x:v>Estimated Deal Value</x:v>
      </x:c>
      <x:c r="R1" s="9" t="str">
        <x:v>Probability of Response</x:v>
      </x:c>
      <x:c r="S1" s="9" t="str">
        <x:v>Difficulty</x:v>
      </x:c>
      <x:c r="T1" s="9" t="str">
        <x:v>Recommended Contact Date</x:v>
      </x:c>
      <x:c r="U1" s="9" t="str">
        <x:v>Follow-Up Date</x:v>
      </x:c>
      <x:c r="V1" s="9" t="str">
        <x:v>Status</x:v>
      </x:c>
      <x:c r="W1" s="9" t="str">
        <x:v>Notes</x:v>
      </x:c>
      <x:c r="X1" s="9" t="str">
        <x:v>Why this organization</x:v>
      </x:c>
      <x:c r="Y1" s="9" t="str">
        <x:v>Response score</x:v>
      </x:c>
      <x:c r="Z1" s="9" t="str">
        <x:v>Strategic fit score</x:v>
      </x:c>
      <x:c r="AA1" s="9" t="str">
        <x:v>Revenue score</x:v>
      </x:c>
      <x:c r="AB1" s="9" t="str">
        <x:v>Ease score</x:v>
      </x:c>
      <x:c r="AC1" s="9" t="str">
        <x:v>Speed score</x:v>
      </x:c>
      <x:c r="AD1" s="9" t="str">
        <x:v>Priority score</x:v>
      </x:c>
      <x:c r="AE1" s="9" t="str">
        <x:v>First 25 Rank</x:v>
      </x:c>
      <x:c r="AF1" s="9" t="str">
        <x:v>First 20 Resort Rank</x:v>
      </x:c>
      <x:c r="AG1" s="9" t="str">
        <x:v>Source URL</x:v>
      </x:c>
      <x:c r="AH1" s="9" t="str">
        <x:v>Additional Source URL</x:v>
      </x:c>
      <x:c r="AI1" s="9" t="str">
        <x:v>Researched Date</x:v>
      </x:c>
      <x:c r="AJ1" s="9" t="str">
        <x:v>Verification / caveat</x:v>
      </x:c>
      <x:c r="AK1" s="9" t="str">
        <x:v>Subject</x:v>
      </x:c>
      <x:c r="AL1" s="9" t="str">
        <x:v>Suggested First Message</x:v>
      </x:c>
    </x:row>
    <x:row r="2" ht="58" customHeight="1">
      <x:c r="A2" s="4" t="str">
        <x:v>PC-001</x:v>
      </x:c>
      <x:c r="B2" s="4" t="str">
        <x:v>P1 — First 25</x:v>
      </x:c>
      <x:c r="C2" s="4" t="str">
        <x:v>Loveland Ski Area</x:v>
      </x:c>
      <x:c r="D2" s="4" t="str">
        <x:v>Resort</x:v>
      </x:c>
      <x:c r="E2" s="4" t="str">
        <x:v>Georgetown, Colorado</x:v>
      </x:c>
      <x:c r="F2" s="4" t="str">
        <x:v>https://skiloveland.com</x:v>
      </x:c>
      <x:c r="G2" s="4" t="str">
        <x:v>Loryn Roberson</x:v>
      </x:c>
      <x:c r="H2" s="4" t="str">
        <x:v>Marketing &amp; Communications Director</x:v>
      </x:c>
      <x:c r="I2" s="4" t="str">
        <x:v>Marketing / partnerships (routing request)</x:v>
      </x:c>
      <x:c r="J2" s="4" t="str">
        <x:v>loryn.roberson@skiloveland.com</x:v>
      </x:c>
      <x:c r="K2" s="4" t="str">
        <x:v>N/A</x:v>
      </x:c>
      <x:c r="L2" s="4" t="str">
        <x:v>303-571-5580 x157</x:v>
      </x:c>
      <x:c r="M2" s="4" t="str">
        <x:v>https://skiloveland.com/media-center/</x:v>
      </x:c>
      <x:c r="N2" s="4" t="str">
        <x:v>N/A</x:v>
      </x:c>
      <x:c r="O2" s="4" t="str">
        <x:v>An attributed, link-first Colorado camera discovery pilot; embeds only with written permission</x:v>
      </x:c>
      <x:c r="P2" s="4" t="str">
        <x:v>Free permission/referral pilot first; possible measured sponsorship later</x:v>
      </x:c>
      <x:c r="Q2" s="4" t="str">
        <x:v>$0 pilot; optional $100–300/month only after audience proof</x:v>
      </x:c>
      <x:c r="R2" s="4" t="str">
        <x:v>10–25% (subjective)</x:v>
      </x:c>
      <x:c r="S2" s="4" t="n">
        <x:v>2</x:v>
      </x:c>
      <x:c r="T2" s="12" t="n">
        <x:v>46275</x:v>
      </x:c>
      <x:c r="U2" s="12" t="n">
        <x:v>46282</x:v>
      </x:c>
      <x:c r="V2" s="4" t="str">
        <x:v>Research ready — reverify before send</x:v>
      </x:c>
      <x:c r="W2" s="4" t="str">
        <x:v>Also publicly lists Dustin Schaefer, Marketing Manager, dustin@skiloveland.com. New camera source page appears at /webcams/; validate redirect from catalog.</x:v>
      </x:c>
      <x:c r="X2" s="4" t="str">
        <x:v>Already listed in the audited catalog; resolve the official webcam URL and request a small early-season attribution/referral pilot.</x:v>
      </x:c>
      <x:c r="Y2" s="4" t="n">
        <x:v>4</x:v>
      </x:c>
      <x:c r="Z2" s="4" t="n">
        <x:v>5</x:v>
      </x:c>
      <x:c r="AA2" s="4" t="n">
        <x:v>3</x:v>
      </x:c>
      <x:c r="AB2" s="4" t="n">
        <x:v>3</x:v>
      </x:c>
      <x:c r="AC2" s="4" t="n">
        <x:v>4</x:v>
      </x:c>
      <x:c r="AD2" s="4" t="n">
        <x:f>Y2*Z2*AA2*AB2*AC2</x:f>
        <x:v>720</x:v>
      </x:c>
      <x:c r="AE2" s="4" t="n">
        <x:v>1</x:v>
      </x:c>
      <x:c r="AF2" s="4" t="n">
        <x:v>1</x:v>
      </x:c>
      <x:c r="AG2" s="4" t="str">
        <x:v>https://skiloveland.com/media-center/</x:v>
      </x:c>
      <x:c r="AH2" s="4" t="str">
        <x:v>N/A</x:v>
      </x:c>
      <x:c r="AI2" s="12" t="n">
        <x:v>46274</x:v>
      </x:c>
      <x:c r="AJ2" s="4" t="str">
        <x:v>Public first-party business route researched; no delivery test or buyer authority confirmed</x:v>
      </x:c>
      <x:c r="AK2" s="4" t="str">
        <x:v>Loveland camera links: small PeakCam referral pilot</x:v>
      </x:c>
      <x:c r="AL2" s="4" t="str">
        <x:v>Hi Loryn,
I’m Jared, the founder of PeakCam (peakcam.io), a small mountain-camera finder currently starting with three Colorado resorts. Already listed in the audited catalog; resolve the official webcam URL and request a small early-season attribution/referral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 ht="58" customHeight="1">
      <x:c r="A3" s="4" t="str">
        <x:v>PC-002</x:v>
      </x:c>
      <x:c r="B3" s="4" t="str">
        <x:v>P1 — First 25</x:v>
      </x:c>
      <x:c r="C3" s="4" t="str">
        <x:v>Monarch Mountain</x:v>
      </x:c>
      <x:c r="D3" s="4" t="str">
        <x:v>Resort</x:v>
      </x:c>
      <x:c r="E3" s="4" t="str">
        <x:v>Salida, Colorado</x:v>
      </x:c>
      <x:c r="F3" s="4" t="str">
        <x:v>https://skimonarch.com</x:v>
      </x:c>
      <x:c r="G3" s="4" t="str">
        <x:v>N/A</x:v>
      </x:c>
      <x:c r="H3" s="4" t="str">
        <x:v>N/A</x:v>
      </x:c>
      <x:c r="I3" s="4" t="str">
        <x:v>Marketing / partnerships (routing request)</x:v>
      </x:c>
      <x:c r="J3" s="4" t="str">
        <x:v>marketing@skimonarch.com</x:v>
      </x:c>
      <x:c r="K3" s="4" t="str">
        <x:v>marketing@skimonarch.com</x:v>
      </x:c>
      <x:c r="L3" s="4" t="str">
        <x:v>719-530-5104</x:v>
      </x:c>
      <x:c r="M3" s="4" t="str">
        <x:v>https://skimonarch.com/contact-us/</x:v>
      </x:c>
      <x:c r="N3" s="4" t="str">
        <x:v>N/A</x:v>
      </x:c>
      <x:c r="O3" s="4" t="str">
        <x:v>An attributed, link-first Colorado camera discovery pilot; embeds only with written permission</x:v>
      </x:c>
      <x:c r="P3" s="4" t="str">
        <x:v>Free permission/referral pilot first; possible measured sponsorship later</x:v>
      </x:c>
      <x:c r="Q3" s="4" t="str">
        <x:v>$0 pilot; optional $100–300/month only after audience proof</x:v>
      </x:c>
      <x:c r="R3" s="4" t="str">
        <x:v>10–25% (subjective)</x:v>
      </x:c>
      <x:c r="S3" s="4" t="n">
        <x:v>2</x:v>
      </x:c>
      <x:c r="T3" s="12" t="n">
        <x:v>46275</x:v>
      </x:c>
      <x:c r="U3" s="12" t="n">
        <x:v>46282</x:v>
      </x:c>
      <x:c r="V3" s="4" t="str">
        <x:v>Research ready — reverify before send</x:v>
      </x:c>
      <x:c r="W3" s="4" t="str">
        <x:v>N/A</x:v>
      </x:c>
      <x:c r="X3" s="4" t="str">
        <x:v>Colorado expansion with an explicit marketing inbox; propose link-first conditions discovery and agreed image rights.</x:v>
      </x:c>
      <x:c r="Y3" s="4" t="n">
        <x:v>4</x:v>
      </x:c>
      <x:c r="Z3" s="4" t="n">
        <x:v>5</x:v>
      </x:c>
      <x:c r="AA3" s="4" t="n">
        <x:v>3</x:v>
      </x:c>
      <x:c r="AB3" s="4" t="n">
        <x:v>3</x:v>
      </x:c>
      <x:c r="AC3" s="4" t="n">
        <x:v>4</x:v>
      </x:c>
      <x:c r="AD3" s="4" t="n">
        <x:f>Y3*Z3*AA3*AB3*AC3</x:f>
        <x:v>720</x:v>
      </x:c>
      <x:c r="AE3" s="4" t="n">
        <x:v>2</x:v>
      </x:c>
      <x:c r="AF3" s="4" t="n">
        <x:v>2</x:v>
      </x:c>
      <x:c r="AG3" s="4" t="str">
        <x:v>https://skimonarch.com/contact-us/</x:v>
      </x:c>
      <x:c r="AH3" s="4" t="str">
        <x:v>N/A</x:v>
      </x:c>
      <x:c r="AI3" s="12" t="n">
        <x:v>46274</x:v>
      </x:c>
      <x:c r="AJ3" s="4" t="str">
        <x:v>Public first-party business route researched; no delivery test or buyer authority confirmed</x:v>
      </x:c>
      <x:c r="AK3" s="4" t="str">
        <x:v>PeakCam × Monarch Mountain: small ski-season pilot</x:v>
      </x:c>
      <x:c r="AL3" s="4" t="str">
        <x:v>Hi Monarch Mountain team,
I’m Jared, the founder of PeakCam (peakcam.io), a small mountain-camera finder currently starting with three Colorado resorts. Colorado expansion with an explicit marketing inbox; propose link-first conditions discovery and agreed image rights.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 ht="58" customHeight="1">
      <x:c r="A4" s="4" t="str">
        <x:v>PC-003</x:v>
      </x:c>
      <x:c r="B4" s="4" t="str">
        <x:v>P1 — First 25</x:v>
      </x:c>
      <x:c r="C4" s="4" t="str">
        <x:v>Ski Cooper</x:v>
      </x:c>
      <x:c r="D4" s="4" t="str">
        <x:v>Resort</x:v>
      </x:c>
      <x:c r="E4" s="4" t="str">
        <x:v>Leadville, Colorado</x:v>
      </x:c>
      <x:c r="F4" s="4" t="str">
        <x:v>https://www.skicooper.com</x:v>
      </x:c>
      <x:c r="G4" s="4" t="str">
        <x:v>N/A</x:v>
      </x:c>
      <x:c r="H4" s="4" t="str">
        <x:v>N/A</x:v>
      </x:c>
      <x:c r="I4" s="4" t="str">
        <x:v>Marketing / partnerships (routing request)</x:v>
      </x:c>
      <x:c r="J4" s="4" t="str">
        <x:v>N/A</x:v>
      </x:c>
      <x:c r="K4" s="4" t="str">
        <x:v>N/A</x:v>
      </x:c>
      <x:c r="L4" s="4" t="str">
        <x:v>719-486-2277</x:v>
      </x:c>
      <x:c r="M4" s="4" t="str">
        <x:v>https://www.skicooper.com/contact-us/</x:v>
      </x:c>
      <x:c r="N4" s="4" t="str">
        <x:v>N/A</x:v>
      </x:c>
      <x:c r="O4" s="4" t="str">
        <x:v>An attributed, link-first Colorado camera discovery pilot; embeds only with written permission</x:v>
      </x:c>
      <x:c r="P4" s="4" t="str">
        <x:v>Free permission/referral pilot first; possible measured sponsorship later</x:v>
      </x:c>
      <x:c r="Q4" s="4" t="str">
        <x:v>$0 pilot; optional $100–300/month only after audience proof</x:v>
      </x:c>
      <x:c r="R4" s="4" t="str">
        <x:v>10–25% (subjective)</x:v>
      </x:c>
      <x:c r="S4" s="4" t="n">
        <x:v>2</x:v>
      </x:c>
      <x:c r="T4" s="12" t="n">
        <x:v>46275</x:v>
      </x:c>
      <x:c r="U4" s="12" t="n">
        <x:v>46282</x:v>
      </x:c>
      <x:c r="V4" s="4" t="str">
        <x:v>Research ready — reverify before send</x:v>
      </x:c>
      <x:c r="W4" s="4" t="str">
        <x:v>Email is obfuscated on the fetched page; not guessed. Final source re-open timed out; earlier public contact research retained. Reverify the official form/phone before use.</x:v>
      </x:c>
      <x:c r="X4" s="4" t="str">
        <x:v>Compact Colorado pilot near existing coverage; ask general form to route to marketing.</x:v>
      </x:c>
      <x:c r="Y4" s="4" t="n">
        <x:v>3</x:v>
      </x:c>
      <x:c r="Z4" s="4" t="n">
        <x:v>5</x:v>
      </x:c>
      <x:c r="AA4" s="4" t="n">
        <x:v>3</x:v>
      </x:c>
      <x:c r="AB4" s="4" t="n">
        <x:v>3</x:v>
      </x:c>
      <x:c r="AC4" s="4" t="n">
        <x:v>4</x:v>
      </x:c>
      <x:c r="AD4" s="4" t="n">
        <x:f>Y4*Z4*AA4*AB4*AC4</x:f>
        <x:v>540</x:v>
      </x:c>
      <x:c r="AE4" s="4" t="n">
        <x:v>3</x:v>
      </x:c>
      <x:c r="AF4" s="4" t="n">
        <x:v>3</x:v>
      </x:c>
      <x:c r="AG4" s="4" t="str">
        <x:v>https://www.skicooper.com/contact-us/</x:v>
      </x:c>
      <x:c r="AH4" s="4" t="str">
        <x:v>N/A</x:v>
      </x:c>
      <x:c r="AI4" s="12" t="n">
        <x:v>46274</x:v>
      </x:c>
      <x:c r="AJ4" s="4" t="str">
        <x:v>Public first-party business route researched; no delivery test or buyer authority confirmed</x:v>
      </x:c>
      <x:c r="AK4" s="4" t="str">
        <x:v>PeakCam × Ski Cooper: small ski-season pilot</x:v>
      </x:c>
      <x:c r="AL4" s="4" t="str">
        <x:v>Hi Ski Cooper team,
I’m Jared, the founder of PeakCam (peakcam.io), a small mountain-camera finder currently starting with three Colorado resorts. Compact Colorado pilot near existing coverage; ask general form to route to marketing.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5" ht="58" customHeight="1">
      <x:c r="A5" s="4" t="str">
        <x:v>PC-004</x:v>
      </x:c>
      <x:c r="B5" s="4" t="str">
        <x:v>P1 — First 25</x:v>
      </x:c>
      <x:c r="C5" s="4" t="str">
        <x:v>Sunlight Mountain Resort</x:v>
      </x:c>
      <x:c r="D5" s="4" t="str">
        <x:v>Resort</x:v>
      </x:c>
      <x:c r="E5" s="4" t="str">
        <x:v>Glenwood Springs, Colorado</x:v>
      </x:c>
      <x:c r="F5" s="4" t="str">
        <x:v>https://sunlightmtn.com</x:v>
      </x:c>
      <x:c r="G5" s="4" t="str">
        <x:v>Kala Casey</x:v>
      </x:c>
      <x:c r="H5" s="4" t="str">
        <x:v>Media inquiries contact</x:v>
      </x:c>
      <x:c r="I5" s="4" t="str">
        <x:v>Marketing / partnerships (routing request)</x:v>
      </x:c>
      <x:c r="J5" s="4" t="str">
        <x:v>kala@sunlightmtn.com</x:v>
      </x:c>
      <x:c r="K5" s="4" t="str">
        <x:v>N/A</x:v>
      </x:c>
      <x:c r="L5" s="4" t="str">
        <x:v>970-945-7491</x:v>
      </x:c>
      <x:c r="M5" s="4" t="str">
        <x:v>https://sunlightmtn.com/media-link/</x:v>
      </x:c>
      <x:c r="N5" s="4" t="str">
        <x:v>N/A</x:v>
      </x:c>
      <x:c r="O5" s="4" t="str">
        <x:v>An attributed, link-first Colorado camera discovery pilot; embeds only with written permission</x:v>
      </x:c>
      <x:c r="P5" s="4" t="str">
        <x:v>Free permission/referral pilot first; possible measured sponsorship later</x:v>
      </x:c>
      <x:c r="Q5" s="4" t="str">
        <x:v>$0 pilot; optional $100–300/month only after audience proof</x:v>
      </x:c>
      <x:c r="R5" s="4" t="str">
        <x:v>10–25% (subjective)</x:v>
      </x:c>
      <x:c r="S5" s="4" t="n">
        <x:v>2</x:v>
      </x:c>
      <x:c r="T5" s="12" t="n">
        <x:v>46275</x:v>
      </x:c>
      <x:c r="U5" s="12" t="n">
        <x:v>46282</x:v>
      </x:c>
      <x:c r="V5" s="4" t="str">
        <x:v>Research ready — reverify before send</x:v>
      </x:c>
      <x:c r="W5" s="4" t="str">
        <x:v>Policy requires credit; commercial webcam rights still need separate permission. Final source re-open was rate-limited (429); earlier public media contact research retained. Reverify role before sending.</x:v>
      </x:c>
      <x:c r="X5" s="4" t="str">
        <x:v>Publishes a media-use policy and dedicated contact; start with approved imagery and traffic referrals, not blanket content reuse.</x:v>
      </x:c>
      <x:c r="Y5" s="4" t="n">
        <x:v>4</x:v>
      </x:c>
      <x:c r="Z5" s="4" t="n">
        <x:v>5</x:v>
      </x:c>
      <x:c r="AA5" s="4" t="n">
        <x:v>3</x:v>
      </x:c>
      <x:c r="AB5" s="4" t="n">
        <x:v>3</x:v>
      </x:c>
      <x:c r="AC5" s="4" t="n">
        <x:v>4</x:v>
      </x:c>
      <x:c r="AD5" s="4" t="n">
        <x:f>Y5*Z5*AA5*AB5*AC5</x:f>
        <x:v>720</x:v>
      </x:c>
      <x:c r="AE5" s="4" t="n">
        <x:v>4</x:v>
      </x:c>
      <x:c r="AF5" s="4" t="n">
        <x:v>4</x:v>
      </x:c>
      <x:c r="AG5" s="4" t="str">
        <x:v>https://sunlightmtn.com/media-link/</x:v>
      </x:c>
      <x:c r="AH5" s="4" t="str">
        <x:v>N/A</x:v>
      </x:c>
      <x:c r="AI5" s="12" t="n">
        <x:v>46274</x:v>
      </x:c>
      <x:c r="AJ5" s="4" t="str">
        <x:v>Public first-party business route researched; no delivery test or buyer authority confirmed</x:v>
      </x:c>
      <x:c r="AK5" s="4" t="str">
        <x:v>PeakCam × Sunlight Mountain Resort: small ski-season pilot</x:v>
      </x:c>
      <x:c r="AL5" s="4" t="str">
        <x:v>Hi Kala,
I’m Jared, the founder of PeakCam (peakcam.io), a small mountain-camera finder currently starting with three Colorado resorts. Publishes a media-use policy and dedicated contact; start with approved imagery and traffic referrals, not blanket content reuse.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 ht="58" customHeight="1">
      <x:c r="A6" s="4" t="str">
        <x:v>PC-005</x:v>
      </x:c>
      <x:c r="B6" s="4" t="str">
        <x:v>P1 — First 25</x:v>
      </x:c>
      <x:c r="C6" s="4" t="str">
        <x:v>Granby Ranch</x:v>
      </x:c>
      <x:c r="D6" s="4" t="str">
        <x:v>Resort</x:v>
      </x:c>
      <x:c r="E6" s="4" t="str">
        <x:v>Granby, Colorado</x:v>
      </x:c>
      <x:c r="F6" s="4" t="str">
        <x:v>https://granbyranch.com</x:v>
      </x:c>
      <x:c r="G6" s="4" t="str">
        <x:v>N/A</x:v>
      </x:c>
      <x:c r="H6" s="4" t="str">
        <x:v>N/A</x:v>
      </x:c>
      <x:c r="I6" s="4" t="str">
        <x:v>Marketing / partnerships (routing request)</x:v>
      </x:c>
      <x:c r="J6" s="4" t="str">
        <x:v>N/A</x:v>
      </x:c>
      <x:c r="K6" s="4" t="str">
        <x:v>N/A</x:v>
      </x:c>
      <x:c r="L6" s="4" t="str">
        <x:v>888-850-4615</x:v>
      </x:c>
      <x:c r="M6" s="4" t="str">
        <x:v>https://granbyranch.com/contact-us/</x:v>
      </x:c>
      <x:c r="N6" s="4" t="str">
        <x:v>N/A</x:v>
      </x:c>
      <x:c r="O6" s="4" t="str">
        <x:v>An attributed, link-first Colorado camera discovery pilot; embeds only with written permission</x:v>
      </x:c>
      <x:c r="P6" s="4" t="str">
        <x:v>Free permission/referral pilot first; possible measured sponsorship later</x:v>
      </x:c>
      <x:c r="Q6" s="4" t="str">
        <x:v>$0 pilot; optional $100–300/month only after audience proof</x:v>
      </x:c>
      <x:c r="R6" s="4" t="str">
        <x:v>10–25% (subjective)</x:v>
      </x:c>
      <x:c r="S6" s="4" t="n">
        <x:v>2</x:v>
      </x:c>
      <x:c r="T6" s="12" t="n">
        <x:v>46275</x:v>
      </x:c>
      <x:c r="U6" s="12" t="n">
        <x:v>46282</x:v>
      </x:c>
      <x:c r="V6" s="4" t="str">
        <x:v>Research ready — reverify before send</x:v>
      </x:c>
      <x:c r="W6" s="4" t="str">
        <x:v>Final primary contact-page recheck confirmed form and phone; email not reverified on that page, so omitted. Ask to route to marketing/digital.</x:v>
      </x:c>
      <x:c r="X6" s="4" t="str">
        <x:v>Family-trip use case and regional expansion; ask for correct camera sources and concierge feedback.</x:v>
      </x:c>
      <x:c r="Y6" s="4" t="n">
        <x:v>4</x:v>
      </x:c>
      <x:c r="Z6" s="4" t="n">
        <x:v>5</x:v>
      </x:c>
      <x:c r="AA6" s="4" t="n">
        <x:v>3</x:v>
      </x:c>
      <x:c r="AB6" s="4" t="n">
        <x:v>3</x:v>
      </x:c>
      <x:c r="AC6" s="4" t="n">
        <x:v>4</x:v>
      </x:c>
      <x:c r="AD6" s="4" t="n">
        <x:f>Y6*Z6*AA6*AB6*AC6</x:f>
        <x:v>720</x:v>
      </x:c>
      <x:c r="AE6" s="4" t="n">
        <x:v>5</x:v>
      </x:c>
      <x:c r="AF6" s="4" t="n">
        <x:v>5</x:v>
      </x:c>
      <x:c r="AG6" s="4" t="str">
        <x:v>https://granbyranch.com/contact-us/</x:v>
      </x:c>
      <x:c r="AH6" s="4" t="str">
        <x:v>https://granbyranch.com/news/granby-faq/general-customer-inquiries/</x:v>
      </x:c>
      <x:c r="AI6" s="12" t="n">
        <x:v>46274</x:v>
      </x:c>
      <x:c r="AJ6" s="4" t="str">
        <x:v>Public first-party business route researched; no delivery test or buyer authority confirmed</x:v>
      </x:c>
      <x:c r="AK6" s="4" t="str">
        <x:v>PeakCam × Granby Ranch: small ski-season pilot</x:v>
      </x:c>
      <x:c r="AL6" s="4" t="str">
        <x:v>Hi Granby Ranch team,
I’m Jared, the founder of PeakCam (peakcam.io), a small mountain-camera finder currently starting with three Colorado resorts. Family-trip use case and regional expansion; ask for correct camera sources and concierge feedback.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 ht="58" customHeight="1">
      <x:c r="A7" s="4" t="str">
        <x:v>PC-006</x:v>
      </x:c>
      <x:c r="B7" s="4" t="str">
        <x:v>P1 — First 25</x:v>
      </x:c>
      <x:c r="C7" s="4" t="str">
        <x:v>Wolf Creek Ski Area</x:v>
      </x:c>
      <x:c r="D7" s="4" t="str">
        <x:v>Resort</x:v>
      </x:c>
      <x:c r="E7" s="4" t="str">
        <x:v>Pagosa Springs, Colorado</x:v>
      </x:c>
      <x:c r="F7" s="4" t="str">
        <x:v>https://wolfcreekski.com</x:v>
      </x:c>
      <x:c r="G7" s="4" t="str">
        <x:v>N/A</x:v>
      </x:c>
      <x:c r="H7" s="4" t="str">
        <x:v>N/A</x:v>
      </x:c>
      <x:c r="I7" s="4" t="str">
        <x:v>Marketing / partnerships (routing request)</x:v>
      </x:c>
      <x:c r="J7" s="4" t="str">
        <x:v>WolfCreekSki@WolfCreekSki.com</x:v>
      </x:c>
      <x:c r="K7" s="4" t="str">
        <x:v>N/A</x:v>
      </x:c>
      <x:c r="L7" s="4" t="str">
        <x:v>970-264-5639</x:v>
      </x:c>
      <x:c r="M7" s="4" t="str">
        <x:v>https://wolfcreekski.com/</x:v>
      </x:c>
      <x:c r="N7" s="4" t="str">
        <x:v>N/A</x:v>
      </x:c>
      <x:c r="O7" s="4" t="str">
        <x:v>An attributed, link-first Colorado camera discovery pilot; embeds only with written permission</x:v>
      </x:c>
      <x:c r="P7" s="4" t="str">
        <x:v>Free permission/referral pilot first; possible measured sponsorship later</x:v>
      </x:c>
      <x:c r="Q7" s="4" t="str">
        <x:v>$0 pilot; optional $100–300/month only after audience proof</x:v>
      </x:c>
      <x:c r="R7" s="4" t="str">
        <x:v>10–25% (subjective)</x:v>
      </x:c>
      <x:c r="S7" s="4" t="n">
        <x:v>2</x:v>
      </x:c>
      <x:c r="T7" s="12" t="n">
        <x:v>46282</x:v>
      </x:c>
      <x:c r="U7" s="12" t="n">
        <x:v>46289</x:v>
      </x:c>
      <x:c r="V7" s="4" t="str">
        <x:v>Research ready — reverify before send</x:v>
      </x:c>
      <x:c r="W7" s="4" t="str">
        <x:v>N/A</x:v>
      </x:c>
      <x:c r="X7" s="4" t="str">
        <x:v>Official homepage exposes multiple named cameras; useful snow-observation destination to add only after source verification.</x:v>
      </x:c>
      <x:c r="Y7" s="4" t="n">
        <x:v>4</x:v>
      </x:c>
      <x:c r="Z7" s="4" t="n">
        <x:v>5</x:v>
      </x:c>
      <x:c r="AA7" s="4" t="n">
        <x:v>3</x:v>
      </x:c>
      <x:c r="AB7" s="4" t="n">
        <x:v>3</x:v>
      </x:c>
      <x:c r="AC7" s="4" t="n">
        <x:v>4</x:v>
      </x:c>
      <x:c r="AD7" s="4" t="n">
        <x:f>Y7*Z7*AA7*AB7*AC7</x:f>
        <x:v>720</x:v>
      </x:c>
      <x:c r="AE7" s="4" t="n">
        <x:v>6</x:v>
      </x:c>
      <x:c r="AF7" s="4" t="n">
        <x:v>6</x:v>
      </x:c>
      <x:c r="AG7" s="4" t="str">
        <x:v>https://wolfcreekski.com/</x:v>
      </x:c>
      <x:c r="AH7" s="4" t="str">
        <x:v>N/A</x:v>
      </x:c>
      <x:c r="AI7" s="12" t="n">
        <x:v>46274</x:v>
      </x:c>
      <x:c r="AJ7" s="4" t="str">
        <x:v>Public first-party business route researched; no delivery test or buyer authority confirmed</x:v>
      </x:c>
      <x:c r="AK7" s="4" t="str">
        <x:v>PeakCam × Wolf Creek Ski Area: small ski-season pilot</x:v>
      </x:c>
      <x:c r="AL7" s="4" t="str">
        <x:v>Hi Wolf Creek Ski Area team,
I’m Jared, the founder of PeakCam (peakcam.io), a small mountain-camera finder currently starting with three Colorado resorts. Official homepage exposes multiple named cameras; useful snow-observation destination to add only after source verification.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 ht="58" customHeight="1">
      <x:c r="A8" s="4" t="str">
        <x:v>PC-007</x:v>
      </x:c>
      <x:c r="B8" s="4" t="str">
        <x:v>P1 — First 25</x:v>
      </x:c>
      <x:c r="C8" s="4" t="str">
        <x:v>Arapahoe Basin</x:v>
      </x:c>
      <x:c r="D8" s="4" t="str">
        <x:v>Resort</x:v>
      </x:c>
      <x:c r="E8" s="4" t="str">
        <x:v>Dillon, Colorado</x:v>
      </x:c>
      <x:c r="F8" s="4" t="str">
        <x:v>https://www.arapahoebasin.com</x:v>
      </x:c>
      <x:c r="G8" s="4" t="str">
        <x:v>N/A</x:v>
      </x:c>
      <x:c r="H8" s="4" t="str">
        <x:v>N/A</x:v>
      </x:c>
      <x:c r="I8" s="4" t="str">
        <x:v>Marketing / partnerships (routing request)</x:v>
      </x:c>
      <x:c r="J8" s="4" t="str">
        <x:v>guestservices@abasin.com</x:v>
      </x:c>
      <x:c r="K8" s="4" t="str">
        <x:v>N/A</x:v>
      </x:c>
      <x:c r="L8" s="4" t="str">
        <x:v>888-272-7246</x:v>
      </x:c>
      <x:c r="M8" s="4" t="str">
        <x:v>https://www.arapahoebasin.com/contact-us/</x:v>
      </x:c>
      <x:c r="N8" s="4" t="str">
        <x:v>N/A</x:v>
      </x:c>
      <x:c r="O8" s="4" t="str">
        <x:v>An attributed, link-first Colorado camera discovery pilot; embeds only with written permission</x:v>
      </x:c>
      <x:c r="P8" s="4" t="str">
        <x:v>Free permission/referral pilot first; possible measured sponsorship later</x:v>
      </x:c>
      <x:c r="Q8" s="4" t="str">
        <x:v>$0 pilot; optional $100–300/month only after audience proof</x:v>
      </x:c>
      <x:c r="R8" s="4" t="str">
        <x:v>10–25% (subjective)</x:v>
      </x:c>
      <x:c r="S8" s="4" t="n">
        <x:v>2</x:v>
      </x:c>
      <x:c r="T8" s="12" t="n">
        <x:v>46282</x:v>
      </x:c>
      <x:c r="U8" s="12" t="n">
        <x:v>46289</x:v>
      </x:c>
      <x:c r="V8" s="4" t="str">
        <x:v>Research ready — reverify before send</x:v>
      </x:c>
      <x:c r="W8" s="4" t="str">
        <x:v>Alterra affiliation observed on official store. Do not describe as independent.</x:v>
      </x:c>
      <x:c r="X8" s="4" t="str">
        <x:v>Already in the audited catalog; request routing to digital marketing for correct source, attribution and permission.</x:v>
      </x:c>
      <x:c r="Y8" s="4" t="n">
        <x:v>4</x:v>
      </x:c>
      <x:c r="Z8" s="4" t="n">
        <x:v>5</x:v>
      </x:c>
      <x:c r="AA8" s="4" t="n">
        <x:v>3</x:v>
      </x:c>
      <x:c r="AB8" s="4" t="n">
        <x:v>3</x:v>
      </x:c>
      <x:c r="AC8" s="4" t="n">
        <x:v>4</x:v>
      </x:c>
      <x:c r="AD8" s="4" t="n">
        <x:f>Y8*Z8*AA8*AB8*AC8</x:f>
        <x:v>720</x:v>
      </x:c>
      <x:c r="AE8" s="4" t="n">
        <x:v>7</x:v>
      </x:c>
      <x:c r="AF8" s="4" t="n">
        <x:v>7</x:v>
      </x:c>
      <x:c r="AG8" s="4" t="str">
        <x:v>https://www.arapahoebasin.com/contact-us/</x:v>
      </x:c>
      <x:c r="AH8" s="4" t="str">
        <x:v>N/A</x:v>
      </x:c>
      <x:c r="AI8" s="12" t="n">
        <x:v>46274</x:v>
      </x:c>
      <x:c r="AJ8" s="4" t="str">
        <x:v>Public first-party business route researched; no delivery test or buyer authority confirmed</x:v>
      </x:c>
      <x:c r="AK8" s="4" t="str">
        <x:v>PeakCam × Arapahoe Basin: small ski-season pilot</x:v>
      </x:c>
      <x:c r="AL8" s="4" t="str">
        <x:v>Hi Arapahoe Basin team,
I’m Jared, the founder of PeakCam (peakcam.io), a small mountain-camera finder currently starting with three Colorado resorts. Already in the audited catalog; request routing to digital marketing for correct source, attribution and permission.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 ht="58" customHeight="1">
      <x:c r="A9" s="4" t="str">
        <x:v>PC-008</x:v>
      </x:c>
      <x:c r="B9" s="4" t="str">
        <x:v>P2 — after core proof</x:v>
      </x:c>
      <x:c r="C9" s="4" t="str">
        <x:v>Powderhorn Mountain Resort</x:v>
      </x:c>
      <x:c r="D9" s="4" t="str">
        <x:v>Resort</x:v>
      </x:c>
      <x:c r="E9" s="4" t="str">
        <x:v>Mesa, Colorado</x:v>
      </x:c>
      <x:c r="F9" s="4" t="str">
        <x:v>https://www.powderhorn.com</x:v>
      </x:c>
      <x:c r="G9" s="4" t="str">
        <x:v>N/A</x:v>
      </x:c>
      <x:c r="H9" s="4" t="str">
        <x:v>N/A</x:v>
      </x:c>
      <x:c r="I9" s="4" t="str">
        <x:v>Marketing / partnerships (routing request)</x:v>
      </x:c>
      <x:c r="J9" s="4" t="str">
        <x:v>N/A</x:v>
      </x:c>
      <x:c r="K9" s="4" t="str">
        <x:v>N/A</x:v>
      </x:c>
      <x:c r="L9" s="4" t="str">
        <x:v>970-268-5700</x:v>
      </x:c>
      <x:c r="M9" s="4" t="str">
        <x:v>https://www.powderhorn.com/contact/</x:v>
      </x:c>
      <x:c r="N9" s="4" t="str">
        <x:v>N/A</x:v>
      </x:c>
      <x:c r="O9" s="4" t="str">
        <x:v>An attributed, link-first Colorado camera discovery pilot; embeds only with written permission</x:v>
      </x:c>
      <x:c r="P9" s="4" t="str">
        <x:v>Free permission/referral pilot first; possible measured sponsorship later</x:v>
      </x:c>
      <x:c r="Q9" s="4" t="str">
        <x:v>$0 pilot; optional $100–300/month only after audience proof</x:v>
      </x:c>
      <x:c r="R9" s="4" t="str">
        <x:v>10–25% (subjective)</x:v>
      </x:c>
      <x:c r="S9" s="4" t="n">
        <x:v>2</x:v>
      </x:c>
      <x:c r="T9" s="12" t="n">
        <x:v>46317</x:v>
      </x:c>
      <x:c r="U9" s="12" t="n">
        <x:v>46324</x:v>
      </x:c>
      <x:c r="V9" s="4" t="str">
        <x:v>Research ready — reverify before send</x:v>
      </x:c>
      <x:c r="W9" s="4" t="str">
        <x:v>Current email obfuscated; use form rather than stale email.</x:v>
      </x:c>
      <x:c r="X9" s="4" t="str">
        <x:v>Western Colorado regional pilot with an explicit departmental contact form.</x:v>
      </x:c>
      <x:c r="Y9" s="4" t="n">
        <x:v>3</x:v>
      </x:c>
      <x:c r="Z9" s="4" t="n">
        <x:v>4</x:v>
      </x:c>
      <x:c r="AA9" s="4" t="n">
        <x:v>3</x:v>
      </x:c>
      <x:c r="AB9" s="4" t="n">
        <x:v>3</x:v>
      </x:c>
      <x:c r="AC9" s="4" t="n">
        <x:v>3</x:v>
      </x:c>
      <x:c r="AD9" s="4" t="n">
        <x:f>Y9*Z9*AA9*AB9*AC9</x:f>
        <x:v>324</x:v>
      </x:c>
      <x:c r="AE9" s="4" t="str">
        <x:v>N/A</x:v>
      </x:c>
      <x:c r="AF9" s="4" t="n">
        <x:v>8</x:v>
      </x:c>
      <x:c r="AG9" s="4" t="str">
        <x:v>https://www.powderhorn.com/contact/</x:v>
      </x:c>
      <x:c r="AH9" s="4" t="str">
        <x:v>N/A</x:v>
      </x:c>
      <x:c r="AI9" s="12" t="n">
        <x:v>46274</x:v>
      </x:c>
      <x:c r="AJ9" s="4" t="str">
        <x:v>Public first-party business route researched; no delivery test or buyer authority confirmed</x:v>
      </x:c>
      <x:c r="AK9" s="4" t="str">
        <x:v>PeakCam × Powderhorn Mountain Resort: small ski-season pilot</x:v>
      </x:c>
      <x:c r="AL9" s="4" t="str">
        <x:v>Hi Powderhorn Mountain Resort team,
I’m Jared, the founder of PeakCam (peakcam.io), a small mountain-camera finder currently starting with three Colorado resorts. Western Colorado regional pilot with an explicit departmental contact form.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0" ht="58" customHeight="1">
      <x:c r="A10" s="4" t="str">
        <x:v>PC-009</x:v>
      </x:c>
      <x:c r="B10" s="4" t="str">
        <x:v>P2 — after core proof</x:v>
      </x:c>
      <x:c r="C10" s="4" t="str">
        <x:v>Purgatory Resort</x:v>
      </x:c>
      <x:c r="D10" s="4" t="str">
        <x:v>Resort</x:v>
      </x:c>
      <x:c r="E10" s="4" t="str">
        <x:v>Durango, Colorado</x:v>
      </x:c>
      <x:c r="F10" s="4" t="str">
        <x:v>https://www.purgatory.ski</x:v>
      </x:c>
      <x:c r="G10" s="4" t="str">
        <x:v>N/A</x:v>
      </x:c>
      <x:c r="H10" s="4" t="str">
        <x:v>N/A</x:v>
      </x:c>
      <x:c r="I10" s="4" t="str">
        <x:v>Marketing / partnerships (routing request)</x:v>
      </x:c>
      <x:c r="J10" s="4" t="str">
        <x:v>N/A</x:v>
      </x:c>
      <x:c r="K10" s="4" t="str">
        <x:v>N/A</x:v>
      </x:c>
      <x:c r="L10" s="4" t="str">
        <x:v>970-385-2100 ext 0</x:v>
      </x:c>
      <x:c r="M10" s="4" t="str">
        <x:v>https://www.purgatory.ski/contact-us/</x:v>
      </x:c>
      <x:c r="N10" s="4" t="str">
        <x:v>N/A</x:v>
      </x:c>
      <x:c r="O10" s="4" t="str">
        <x:v>An attributed, link-first Colorado camera discovery pilot; embeds only with written permission</x:v>
      </x:c>
      <x:c r="P10" s="4" t="str">
        <x:v>Free permission/referral pilot first; possible measured sponsorship later</x:v>
      </x:c>
      <x:c r="Q10" s="4" t="str">
        <x:v>$0 pilot; optional $100–300/month only after audience proof</x:v>
      </x:c>
      <x:c r="R10" s="4" t="str">
        <x:v>10–25% (subjective)</x:v>
      </x:c>
      <x:c r="S10" s="4" t="n">
        <x:v>2</x:v>
      </x:c>
      <x:c r="T10" s="12" t="n">
        <x:v>46317</x:v>
      </x:c>
      <x:c r="U10" s="12" t="n">
        <x:v>46324</x:v>
      </x:c>
      <x:c r="V10" s="4" t="str">
        <x:v>Research ready — reverify before send</x:v>
      </x:c>
      <x:c r="W10" s="4" t="str">
        <x:v>Public emails obfuscated; use published general routing phone/contact page.</x:v>
      </x:c>
      <x:c r="X10" s="4" t="str">
        <x:v>Southwest Colorado destination with lodging and transport referrals; local marketing pilot before operator-wide negotiation.</x:v>
      </x:c>
      <x:c r="Y10" s="4" t="n">
        <x:v>3</x:v>
      </x:c>
      <x:c r="Z10" s="4" t="n">
        <x:v>4</x:v>
      </x:c>
      <x:c r="AA10" s="4" t="n">
        <x:v>3</x:v>
      </x:c>
      <x:c r="AB10" s="4" t="n">
        <x:v>3</x:v>
      </x:c>
      <x:c r="AC10" s="4" t="n">
        <x:v>3</x:v>
      </x:c>
      <x:c r="AD10" s="4" t="n">
        <x:f>Y10*Z10*AA10*AB10*AC10</x:f>
        <x:v>324</x:v>
      </x:c>
      <x:c r="AE10" s="4" t="str">
        <x:v>N/A</x:v>
      </x:c>
      <x:c r="AF10" s="4" t="n">
        <x:v>9</x:v>
      </x:c>
      <x:c r="AG10" s="4" t="str">
        <x:v>https://www.purgatory.ski/contact-us/</x:v>
      </x:c>
      <x:c r="AH10" s="4" t="str">
        <x:v>N/A</x:v>
      </x:c>
      <x:c r="AI10" s="12" t="n">
        <x:v>46274</x:v>
      </x:c>
      <x:c r="AJ10" s="4" t="str">
        <x:v>Public first-party business route researched; no delivery test or buyer authority confirmed</x:v>
      </x:c>
      <x:c r="AK10" s="4" t="str">
        <x:v>PeakCam × Purgatory Resort: small ski-season pilot</x:v>
      </x:c>
      <x:c r="AL10" s="4" t="str">
        <x:v>Hi Purgatory Resort team,
I’m Jared, the founder of PeakCam (peakcam.io), a small mountain-camera finder currently starting with three Colorado resorts. Southwest Colorado destination with lodging and transport referrals; local marketing pilot before operator-wide negotiation.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1" ht="58" customHeight="1">
      <x:c r="A11" s="4" t="str">
        <x:v>PC-010</x:v>
      </x:c>
      <x:c r="B11" s="4" t="str">
        <x:v>P2 — after core proof</x:v>
      </x:c>
      <x:c r="C11" s="4" t="str">
        <x:v>Sipapu Ski and Summer Resort</x:v>
      </x:c>
      <x:c r="D11" s="4" t="str">
        <x:v>Resort</x:v>
      </x:c>
      <x:c r="E11" s="4" t="str">
        <x:v>Vadito, New Mexico</x:v>
      </x:c>
      <x:c r="F11" s="4" t="str">
        <x:v>https://www.sipapu.ski</x:v>
      </x:c>
      <x:c r="G11" s="4" t="str">
        <x:v>N/A</x:v>
      </x:c>
      <x:c r="H11" s="4" t="str">
        <x:v>N/A</x:v>
      </x:c>
      <x:c r="I11" s="4" t="str">
        <x:v>Marketing / partnerships (routing request)</x:v>
      </x:c>
      <x:c r="J11" s="4" t="str">
        <x:v>N/A</x:v>
      </x:c>
      <x:c r="K11" s="4" t="str">
        <x:v>N/A</x:v>
      </x:c>
      <x:c r="L11" s="4" t="str">
        <x:v>575-587-2240</x:v>
      </x:c>
      <x:c r="M11" s="4" t="str">
        <x:v>https://www.sipapu.ski/contact-us/</x:v>
      </x:c>
      <x:c r="N11" s="4" t="str">
        <x:v>N/A</x:v>
      </x:c>
      <x:c r="O11" s="4" t="str">
        <x:v>An attributed, link-first Colorado camera discovery pilot; embeds only with written permission</x:v>
      </x:c>
      <x:c r="P11" s="4" t="str">
        <x:v>Free permission/referral pilot first; possible measured sponsorship later</x:v>
      </x:c>
      <x:c r="Q11" s="4" t="str">
        <x:v>$0 pilot; optional $100–300/month only after audience proof</x:v>
      </x:c>
      <x:c r="R11" s="4" t="str">
        <x:v>10–25% (subjective)</x:v>
      </x:c>
      <x:c r="S11" s="4" t="n">
        <x:v>2</x:v>
      </x:c>
      <x:c r="T11" s="12" t="n">
        <x:v>46317</x:v>
      </x:c>
      <x:c r="U11" s="12" t="n">
        <x:v>46324</x:v>
      </x:c>
      <x:c r="V11" s="4" t="str">
        <x:v>Research ready — reverify before send</x:v>
      </x:c>
      <x:c r="W11" s="4" t="str">
        <x:v>N/A</x:v>
      </x:c>
      <x:c r="X11" s="4" t="str">
        <x:v>Small-resort family and lodging proposition suitable for later Southwest pilot.</x:v>
      </x:c>
      <x:c r="Y11" s="4" t="n">
        <x:v>3</x:v>
      </x:c>
      <x:c r="Z11" s="4" t="n">
        <x:v>4</x:v>
      </x:c>
      <x:c r="AA11" s="4" t="n">
        <x:v>3</x:v>
      </x:c>
      <x:c r="AB11" s="4" t="n">
        <x:v>3</x:v>
      </x:c>
      <x:c r="AC11" s="4" t="n">
        <x:v>3</x:v>
      </x:c>
      <x:c r="AD11" s="4" t="n">
        <x:f>Y11*Z11*AA11*AB11*AC11</x:f>
        <x:v>324</x:v>
      </x:c>
      <x:c r="AE11" s="4" t="str">
        <x:v>N/A</x:v>
      </x:c>
      <x:c r="AF11" s="4" t="n">
        <x:v>10</x:v>
      </x:c>
      <x:c r="AG11" s="4" t="str">
        <x:v>https://www.sipapu.ski/contact-us/</x:v>
      </x:c>
      <x:c r="AH11" s="4" t="str">
        <x:v>N/A</x:v>
      </x:c>
      <x:c r="AI11" s="12" t="n">
        <x:v>46274</x:v>
      </x:c>
      <x:c r="AJ11" s="4" t="str">
        <x:v>Public first-party business route researched; no delivery test or buyer authority confirmed</x:v>
      </x:c>
      <x:c r="AK11" s="4" t="str">
        <x:v>PeakCam × Sipapu Ski and Summer Resort: small ski-season pilot</x:v>
      </x:c>
      <x:c r="AL11" s="4" t="str">
        <x:v>Hi Sipapu Ski and Summer Resort team,
I’m Jared, the founder of PeakCam (peakcam.io), a small mountain-camera finder currently starting with three Colorado resorts. Small-resort family and lodging proposition suitable for later Southwest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2" ht="58" customHeight="1">
      <x:c r="A12" s="4" t="str">
        <x:v>PC-011</x:v>
      </x:c>
      <x:c r="B12" s="4" t="str">
        <x:v>P2 — after core proof</x:v>
      </x:c>
      <x:c r="C12" s="4" t="str">
        <x:v>Taos Ski Valley</x:v>
      </x:c>
      <x:c r="D12" s="4" t="str">
        <x:v>Resort</x:v>
      </x:c>
      <x:c r="E12" s="4" t="str">
        <x:v>Taos Ski Valley, New Mexico</x:v>
      </x:c>
      <x:c r="F12" s="4" t="str">
        <x:v>https://www.skitaos.com</x:v>
      </x:c>
      <x:c r="G12" s="4" t="str">
        <x:v>N/A</x:v>
      </x:c>
      <x:c r="H12" s="4" t="str">
        <x:v>N/A</x:v>
      </x:c>
      <x:c r="I12" s="4" t="str">
        <x:v>Marketing / partnerships (routing request)</x:v>
      </x:c>
      <x:c r="J12" s="4" t="str">
        <x:v>N/A</x:v>
      </x:c>
      <x:c r="K12" s="4" t="str">
        <x:v>N/A</x:v>
      </x:c>
      <x:c r="L12" s="4" t="str">
        <x:v>800-776-1111</x:v>
      </x:c>
      <x:c r="M12" s="4" t="str">
        <x:v>https://www.skitaos.com/contact</x:v>
      </x:c>
      <x:c r="N12" s="4" t="str">
        <x:v>N/A</x:v>
      </x:c>
      <x:c r="O12" s="4" t="str">
        <x:v>An attributed, link-first Colorado camera discovery pilot; embeds only with written permission</x:v>
      </x:c>
      <x:c r="P12" s="4" t="str">
        <x:v>Free permission/referral pilot first; possible measured sponsorship later</x:v>
      </x:c>
      <x:c r="Q12" s="4" t="str">
        <x:v>$0 pilot; optional $100–300/month only after audience proof</x:v>
      </x:c>
      <x:c r="R12" s="4" t="str">
        <x:v>10–25% (subjective)</x:v>
      </x:c>
      <x:c r="S12" s="4" t="n">
        <x:v>2</x:v>
      </x:c>
      <x:c r="T12" s="12" t="n">
        <x:v>46324</x:v>
      </x:c>
      <x:c r="U12" s="12" t="n">
        <x:v>46331</x:v>
      </x:c>
      <x:c r="V12" s="4" t="str">
        <x:v>Research ready — reverify before send</x:v>
      </x:c>
      <x:c r="W12" s="4" t="str">
        <x:v>N/A</x:v>
      </x:c>
      <x:c r="X12" s="4" t="str">
        <x:v>Regional travel audience; ask contact form to route to digital partnerships, not reservations sales.</x:v>
      </x:c>
      <x:c r="Y12" s="4" t="n">
        <x:v>3</x:v>
      </x:c>
      <x:c r="Z12" s="4" t="n">
        <x:v>4</x:v>
      </x:c>
      <x:c r="AA12" s="4" t="n">
        <x:v>3</x:v>
      </x:c>
      <x:c r="AB12" s="4" t="n">
        <x:v>3</x:v>
      </x:c>
      <x:c r="AC12" s="4" t="n">
        <x:v>3</x:v>
      </x:c>
      <x:c r="AD12" s="4" t="n">
        <x:f>Y12*Z12*AA12*AB12*AC12</x:f>
        <x:v>324</x:v>
      </x:c>
      <x:c r="AE12" s="4" t="str">
        <x:v>N/A</x:v>
      </x:c>
      <x:c r="AF12" s="4" t="n">
        <x:v>11</x:v>
      </x:c>
      <x:c r="AG12" s="4" t="str">
        <x:v>https://www.skitaos.com/contact</x:v>
      </x:c>
      <x:c r="AH12" s="4" t="str">
        <x:v>N/A</x:v>
      </x:c>
      <x:c r="AI12" s="12" t="n">
        <x:v>46274</x:v>
      </x:c>
      <x:c r="AJ12" s="4" t="str">
        <x:v>Public first-party business route researched; no delivery test or buyer authority confirmed</x:v>
      </x:c>
      <x:c r="AK12" s="4" t="str">
        <x:v>PeakCam × Taos Ski Valley: small ski-season pilot</x:v>
      </x:c>
      <x:c r="AL12" s="4" t="str">
        <x:v>Hi Taos Ski Valley team,
I’m Jared, the founder of PeakCam (peakcam.io), a small mountain-camera finder currently starting with three Colorado resorts. Regional travel audience; ask contact form to route to digital partnerships, not reservations sales.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3" ht="58" customHeight="1">
      <x:c r="A13" s="4" t="str">
        <x:v>PC-012</x:v>
      </x:c>
      <x:c r="B13" s="4" t="str">
        <x:v>P2 — after core proof</x:v>
      </x:c>
      <x:c r="C13" s="4" t="str">
        <x:v>Sugar Bowl Resort</x:v>
      </x:c>
      <x:c r="D13" s="4" t="str">
        <x:v>Resort</x:v>
      </x:c>
      <x:c r="E13" s="4" t="str">
        <x:v>Norden, California</x:v>
      </x:c>
      <x:c r="F13" s="4" t="str">
        <x:v>https://www.sugarbowl.com</x:v>
      </x:c>
      <x:c r="G13" s="4" t="str">
        <x:v>N/A</x:v>
      </x:c>
      <x:c r="H13" s="4" t="str">
        <x:v>N/A</x:v>
      </x:c>
      <x:c r="I13" s="4" t="str">
        <x:v>Marketing / partnerships (routing request)</x:v>
      </x:c>
      <x:c r="J13" s="4" t="str">
        <x:v>N/A</x:v>
      </x:c>
      <x:c r="K13" s="4" t="str">
        <x:v>N/A</x:v>
      </x:c>
      <x:c r="L13" s="4" t="str">
        <x:v>530-426-9000</x:v>
      </x:c>
      <x:c r="M13" s="4" t="str">
        <x:v>https://www.sugarbowl.com/contact</x:v>
      </x:c>
      <x:c r="N13" s="4" t="str">
        <x:v>N/A</x:v>
      </x:c>
      <x:c r="O13" s="4" t="str">
        <x:v>An attributed, link-first Colorado camera discovery pilot; embeds only with written permission</x:v>
      </x:c>
      <x:c r="P13" s="4" t="str">
        <x:v>Free permission/referral pilot first; possible measured sponsorship later</x:v>
      </x:c>
      <x:c r="Q13" s="4" t="str">
        <x:v>$0 pilot; optional $100–300/month only after audience proof</x:v>
      </x:c>
      <x:c r="R13" s="4" t="str">
        <x:v>10–25% (subjective)</x:v>
      </x:c>
      <x:c r="S13" s="4" t="n">
        <x:v>2</x:v>
      </x:c>
      <x:c r="T13" s="12" t="n">
        <x:v>46324</x:v>
      </x:c>
      <x:c r="U13" s="12" t="n">
        <x:v>46331</x:v>
      </x:c>
      <x:c r="V13" s="4" t="str">
        <x:v>Research ready — reverify before send</x:v>
      </x:c>
      <x:c r="W13" s="4" t="str">
        <x:v>Official page targets Nov 27, 2026 opening, conditions permitting; not a guaranteed opening.</x:v>
      </x:c>
      <x:c r="X13" s="4" t="str">
        <x:v>A Tahoe expansion candidate with departmental routing and active webcam section.</x:v>
      </x:c>
      <x:c r="Y13" s="4" t="n">
        <x:v>3</x:v>
      </x:c>
      <x:c r="Z13" s="4" t="n">
        <x:v>4</x:v>
      </x:c>
      <x:c r="AA13" s="4" t="n">
        <x:v>3</x:v>
      </x:c>
      <x:c r="AB13" s="4" t="n">
        <x:v>3</x:v>
      </x:c>
      <x:c r="AC13" s="4" t="n">
        <x:v>3</x:v>
      </x:c>
      <x:c r="AD13" s="4" t="n">
        <x:f>Y13*Z13*AA13*AB13*AC13</x:f>
        <x:v>324</x:v>
      </x:c>
      <x:c r="AE13" s="4" t="str">
        <x:v>N/A</x:v>
      </x:c>
      <x:c r="AF13" s="4" t="n">
        <x:v>12</x:v>
      </x:c>
      <x:c r="AG13" s="4" t="str">
        <x:v>https://www.sugarbowl.com/contact</x:v>
      </x:c>
      <x:c r="AH13" s="4" t="str">
        <x:v>N/A</x:v>
      </x:c>
      <x:c r="AI13" s="12" t="n">
        <x:v>46274</x:v>
      </x:c>
      <x:c r="AJ13" s="4" t="str">
        <x:v>Public first-party business route researched; no delivery test or buyer authority confirmed</x:v>
      </x:c>
      <x:c r="AK13" s="4" t="str">
        <x:v>PeakCam × Sugar Bowl Resort: small ski-season pilot</x:v>
      </x:c>
      <x:c r="AL13" s="4" t="str">
        <x:v>Hi Sugar Bowl Resort team,
I’m Jared, the founder of PeakCam (peakcam.io), a small mountain-camera finder currently starting with three Colorado resorts. A Tahoe expansion candidate with departmental routing and active webcam section.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4" ht="58" customHeight="1">
      <x:c r="A14" s="4" t="str">
        <x:v>PC-013</x:v>
      </x:c>
      <x:c r="B14" s="4" t="str">
        <x:v>P3 — later / discovery</x:v>
      </x:c>
      <x:c r="C14" s="4" t="str">
        <x:v>Big Powderhorn Mountain Resort</x:v>
      </x:c>
      <x:c r="D14" s="4" t="str">
        <x:v>Resort</x:v>
      </x:c>
      <x:c r="E14" s="4" t="str">
        <x:v>Bessemer, Michigan</x:v>
      </x:c>
      <x:c r="F14" s="4" t="str">
        <x:v>https://bigpowderhorn.net</x:v>
      </x:c>
      <x:c r="G14" s="4" t="str">
        <x:v>N/A</x:v>
      </x:c>
      <x:c r="H14" s="4" t="str">
        <x:v>N/A</x:v>
      </x:c>
      <x:c r="I14" s="4" t="str">
        <x:v>Marketing / partnerships (routing request)</x:v>
      </x:c>
      <x:c r="J14" s="4" t="str">
        <x:v>info@bigpowderhorn.net</x:v>
      </x:c>
      <x:c r="K14" s="4" t="str">
        <x:v>N/A</x:v>
      </x:c>
      <x:c r="L14" s="4" t="str">
        <x:v>906-932-4838</x:v>
      </x:c>
      <x:c r="M14" s="4" t="str">
        <x:v>https://bigpowderhorn.net/contact-us/</x:v>
      </x:c>
      <x:c r="N14" s="4" t="str">
        <x:v>N/A</x:v>
      </x:c>
      <x:c r="O14" s="4" t="str">
        <x:v>An attributed, link-first Colorado camera discovery pilot; embeds only with written permission</x:v>
      </x:c>
      <x:c r="P14" s="4" t="str">
        <x:v>Free permission/referral pilot first; possible measured sponsorship later</x:v>
      </x:c>
      <x:c r="Q14" s="4" t="str">
        <x:v>$0 pilot; optional $100–300/month only after audience proof</x:v>
      </x:c>
      <x:c r="R14" s="4" t="str">
        <x:v>10–25% (subjective)</x:v>
      </x:c>
      <x:c r="S14" s="4" t="n">
        <x:v>2</x:v>
      </x:c>
      <x:c r="T14" s="12" t="n">
        <x:v>46357</x:v>
      </x:c>
      <x:c r="U14" s="12" t="n">
        <x:v>46364</x:v>
      </x:c>
      <x:c r="V14" s="4" t="str">
        <x:v>Research ready — reverify before send</x:v>
      </x:c>
      <x:c r="W14" s="4" t="str">
        <x:v>N/A</x:v>
      </x:c>
      <x:c r="X14" s="4" t="str">
        <x:v>Midwest expansion experiment with accessible general team; distinct from Powderhorn Colorado.</x:v>
      </x:c>
      <x:c r="Y14" s="4" t="n">
        <x:v>2</x:v>
      </x:c>
      <x:c r="Z14" s="4" t="n">
        <x:v>3</x:v>
      </x:c>
      <x:c r="AA14" s="4" t="n">
        <x:v>3</x:v>
      </x:c>
      <x:c r="AB14" s="4" t="n">
        <x:v>3</x:v>
      </x:c>
      <x:c r="AC14" s="4" t="n">
        <x:v>2</x:v>
      </x:c>
      <x:c r="AD14" s="4" t="n">
        <x:f>Y14*Z14*AA14*AB14*AC14</x:f>
        <x:v>108</x:v>
      </x:c>
      <x:c r="AE14" s="4" t="str">
        <x:v>N/A</x:v>
      </x:c>
      <x:c r="AF14" s="4" t="str">
        <x:v>N/A</x:v>
      </x:c>
      <x:c r="AG14" s="4" t="str">
        <x:v>https://bigpowderhorn.net/contact-us/</x:v>
      </x:c>
      <x:c r="AH14" s="4" t="str">
        <x:v>N/A</x:v>
      </x:c>
      <x:c r="AI14" s="12" t="n">
        <x:v>46274</x:v>
      </x:c>
      <x:c r="AJ14" s="4" t="str">
        <x:v>Public first-party business route researched; no delivery test or buyer authority confirmed</x:v>
      </x:c>
      <x:c r="AK14" s="4" t="str">
        <x:v>PeakCam × Big Powderhorn Mountain Resort: small ski-season pilot</x:v>
      </x:c>
      <x:c r="AL14" s="4" t="str">
        <x:v>Hi Big Powderhorn Mountain Resort team,
I’m Jared, the founder of PeakCam (peakcam.io), a small mountain-camera finder currently starting with three Colorado resorts. Midwest expansion experiment with accessible general team; distinct from Powderhorn Colorado.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5" ht="58" customHeight="1">
      <x:c r="A15" s="4" t="str">
        <x:v>PC-014</x:v>
      </x:c>
      <x:c r="B15" s="4" t="str">
        <x:v>P2 — after core proof</x:v>
      </x:c>
      <x:c r="C15" s="4" t="str">
        <x:v>Eldora Mountain Resort</x:v>
      </x:c>
      <x:c r="D15" s="4" t="str">
        <x:v>Resort</x:v>
      </x:c>
      <x:c r="E15" s="4" t="str">
        <x:v>Nederland / Boulder County, Colorado</x:v>
      </x:c>
      <x:c r="F15" s="4" t="str">
        <x:v>https://www.eldora.com</x:v>
      </x:c>
      <x:c r="G15" s="4" t="str">
        <x:v>Sam Bass</x:v>
      </x:c>
      <x:c r="H15" s="4" t="str">
        <x:v>Director of Marketing (chamber listing)</x:v>
      </x:c>
      <x:c r="I15" s="4" t="str">
        <x:v>Marketing / partnerships (routing request)</x:v>
      </x:c>
      <x:c r="J15" s="4" t="str">
        <x:v>N/A</x:v>
      </x:c>
      <x:c r="K15" s="4" t="str">
        <x:v>N/A</x:v>
      </x:c>
      <x:c r="L15" s="4" t="str">
        <x:v>303-440-8700</x:v>
      </x:c>
      <x:c r="M15" s="4" t="str">
        <x:v>https://business.boulderchamber.com/active-member-directory/Details/eldora-mountain-resort-3330316</x:v>
      </x:c>
      <x:c r="N15" s="4" t="str">
        <x:v>N/A</x:v>
      </x:c>
      <x:c r="O15" s="4" t="str">
        <x:v>An attributed, link-first Colorado camera discovery pilot; embeds only with written permission</x:v>
      </x:c>
      <x:c r="P15" s="4" t="str">
        <x:v>Free permission/referral pilot first; possible measured sponsorship later</x:v>
      </x:c>
      <x:c r="Q15" s="4" t="str">
        <x:v>$0 pilot; optional $100–300/month only after audience proof</x:v>
      </x:c>
      <x:c r="R15" s="4" t="str">
        <x:v>10–25% (subjective)</x:v>
      </x:c>
      <x:c r="S15" s="4" t="n">
        <x:v>2</x:v>
      </x:c>
      <x:c r="T15" s="12" t="n">
        <x:v>46324</x:v>
      </x:c>
      <x:c r="U15" s="12" t="n">
        <x:v>46331</x:v>
      </x:c>
      <x:c r="V15" s="4" t="str">
        <x:v>Research ready — reverify before send</x:v>
      </x:c>
      <x:c r="W15" s="4" t="str">
        <x:v>Chamber-listed role, not newly confirmed by resort; reconfirm role before personalizing. No email guessed.</x:v>
      </x:c>
      <x:c r="X15" s="4" t="str">
        <x:v>Front Range fit; chamber member directory offers a routing channel.</x:v>
      </x:c>
      <x:c r="Y15" s="4" t="n">
        <x:v>3</x:v>
      </x:c>
      <x:c r="Z15" s="4" t="n">
        <x:v>4</x:v>
      </x:c>
      <x:c r="AA15" s="4" t="n">
        <x:v>3</x:v>
      </x:c>
      <x:c r="AB15" s="4" t="n">
        <x:v>3</x:v>
      </x:c>
      <x:c r="AC15" s="4" t="n">
        <x:v>3</x:v>
      </x:c>
      <x:c r="AD15" s="4" t="n">
        <x:f>Y15*Z15*AA15*AB15*AC15</x:f>
        <x:v>324</x:v>
      </x:c>
      <x:c r="AE15" s="4" t="str">
        <x:v>N/A</x:v>
      </x:c>
      <x:c r="AF15" s="4" t="str">
        <x:v>N/A</x:v>
      </x:c>
      <x:c r="AG15" s="4" t="str">
        <x:v>https://business.boulderchamber.com/active-member-directory/Details/eldora-mountain-resort-3330316</x:v>
      </x:c>
      <x:c r="AH15" s="4" t="str">
        <x:v>N/A</x:v>
      </x:c>
      <x:c r="AI15" s="12" t="n">
        <x:v>46274</x:v>
      </x:c>
      <x:c r="AJ15" s="4" t="str">
        <x:v>Public directory/business-profile route; reverify with organization</x:v>
      </x:c>
      <x:c r="AK15" s="4" t="str">
        <x:v>PeakCam × Eldora Mountain Resort: small ski-season pilot</x:v>
      </x:c>
      <x:c r="AL15" s="4" t="str">
        <x:v>Hi Sam,
I’m Jared, the founder of PeakCam (peakcam.io), a small mountain-camera finder currently starting with three Colorado resorts. Front Range fit; chamber member directory offers a routing channel.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6" ht="58" customHeight="1">
      <x:c r="A16" s="4" t="str">
        <x:v>PC-015</x:v>
      </x:c>
      <x:c r="B16" s="4" t="str">
        <x:v>P2 — after core proof</x:v>
      </x:c>
      <x:c r="C16" s="4" t="str">
        <x:v>Bogus Basin</x:v>
      </x:c>
      <x:c r="D16" s="4" t="str">
        <x:v>Resort</x:v>
      </x:c>
      <x:c r="E16" s="4" t="str">
        <x:v>Boise, Idaho</x:v>
      </x:c>
      <x:c r="F16" s="4" t="str">
        <x:v>https://bogusbasin.org</x:v>
      </x:c>
      <x:c r="G16" s="4" t="str">
        <x:v>N/A</x:v>
      </x:c>
      <x:c r="H16" s="4" t="str">
        <x:v>N/A</x:v>
      </x:c>
      <x:c r="I16" s="4" t="str">
        <x:v>Marketing / partnerships (routing request)</x:v>
      </x:c>
      <x:c r="J16" s="4" t="str">
        <x:v>marketing@bogusbasin.org</x:v>
      </x:c>
      <x:c r="K16" s="4" t="str">
        <x:v>marketing@bogusbasin.org</x:v>
      </x:c>
      <x:c r="L16" s="4" t="str">
        <x:v>208-332-5100</x:v>
      </x:c>
      <x:c r="M16" s="4" t="str">
        <x:v>https://bogusbasin.org/about-bogus/contact/</x:v>
      </x:c>
      <x:c r="N16" s="4" t="str">
        <x:v>N/A</x:v>
      </x:c>
      <x:c r="O16" s="4" t="str">
        <x:v>An attributed, link-first Colorado camera discovery pilot; embeds only with written permission</x:v>
      </x:c>
      <x:c r="P16" s="4" t="str">
        <x:v>Free permission/referral pilot first; possible measured sponsorship later</x:v>
      </x:c>
      <x:c r="Q16" s="4" t="str">
        <x:v>$0 pilot; optional $100–300/month only after audience proof</x:v>
      </x:c>
      <x:c r="R16" s="4" t="str">
        <x:v>10–25% (subjective)</x:v>
      </x:c>
      <x:c r="S16" s="4" t="n">
        <x:v>2</x:v>
      </x:c>
      <x:c r="T16" s="12" t="n">
        <x:v>46324</x:v>
      </x:c>
      <x:c r="U16" s="12" t="n">
        <x:v>46331</x:v>
      </x:c>
      <x:c r="V16" s="4" t="str">
        <x:v>Research ready — reverify before send</x:v>
      </x:c>
      <x:c r="W16" s="4" t="str">
        <x:v>N/A</x:v>
      </x:c>
      <x:c r="X16" s="4" t="str">
        <x:v>Explicit marketing and community focus; pilot morning camera discovery for local repeat skiers.</x:v>
      </x:c>
      <x:c r="Y16" s="4" t="n">
        <x:v>3</x:v>
      </x:c>
      <x:c r="Z16" s="4" t="n">
        <x:v>4</x:v>
      </x:c>
      <x:c r="AA16" s="4" t="n">
        <x:v>3</x:v>
      </x:c>
      <x:c r="AB16" s="4" t="n">
        <x:v>3</x:v>
      </x:c>
      <x:c r="AC16" s="4" t="n">
        <x:v>3</x:v>
      </x:c>
      <x:c r="AD16" s="4" t="n">
        <x:f>Y16*Z16*AA16*AB16*AC16</x:f>
        <x:v>324</x:v>
      </x:c>
      <x:c r="AE16" s="4" t="str">
        <x:v>N/A</x:v>
      </x:c>
      <x:c r="AF16" s="4" t="n">
        <x:v>13</x:v>
      </x:c>
      <x:c r="AG16" s="4" t="str">
        <x:v>https://bogusbasin.org/about-bogus/contact/</x:v>
      </x:c>
      <x:c r="AH16" s="4" t="str">
        <x:v>https://bogusbasin.org/about-bogus/culture/bogus-basin-hosts-summer-season-finale/</x:v>
      </x:c>
      <x:c r="AI16" s="12" t="n">
        <x:v>46274</x:v>
      </x:c>
      <x:c r="AJ16" s="4" t="str">
        <x:v>Public first-party business route researched; no delivery test or buyer authority confirmed</x:v>
      </x:c>
      <x:c r="AK16" s="4" t="str">
        <x:v>PeakCam × Bogus Basin: small ski-season pilot</x:v>
      </x:c>
      <x:c r="AL16" s="4" t="str">
        <x:v>Hi Bogus Basin team,
I’m Jared, the founder of PeakCam (peakcam.io), a small mountain-camera finder currently starting with three Colorado resorts. Explicit marketing and community focus; pilot morning camera discovery for local repeat skiers.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7" ht="58" customHeight="1">
      <x:c r="A17" s="4" t="str">
        <x:v>PC-016</x:v>
      </x:c>
      <x:c r="B17" s="4" t="str">
        <x:v>P2 — after core proof</x:v>
      </x:c>
      <x:c r="C17" s="4" t="str">
        <x:v>Bridger Bowl</x:v>
      </x:c>
      <x:c r="D17" s="4" t="str">
        <x:v>Resort</x:v>
      </x:c>
      <x:c r="E17" s="4" t="str">
        <x:v>Bozeman, Montana</x:v>
      </x:c>
      <x:c r="F17" s="4" t="str">
        <x:v>https://bridgerbowl.com</x:v>
      </x:c>
      <x:c r="G17" s="4" t="str">
        <x:v>N/A</x:v>
      </x:c>
      <x:c r="H17" s="4" t="str">
        <x:v>N/A</x:v>
      </x:c>
      <x:c r="I17" s="4" t="str">
        <x:v>Marketing / partnerships (routing request)</x:v>
      </x:c>
      <x:c r="J17" s="4" t="str">
        <x:v>marketing@bridgerbowl.com</x:v>
      </x:c>
      <x:c r="K17" s="4" t="str">
        <x:v>marketing@bridgerbowl.com</x:v>
      </x:c>
      <x:c r="L17" s="4" t="str">
        <x:v>406-586-1518</x:v>
      </x:c>
      <x:c r="M17" s="4" t="str">
        <x:v>https://bridgerbowl.com/contact/</x:v>
      </x:c>
      <x:c r="N17" s="4" t="str">
        <x:v>N/A</x:v>
      </x:c>
      <x:c r="O17" s="4" t="str">
        <x:v>An attributed, link-first Colorado camera discovery pilot; embeds only with written permission</x:v>
      </x:c>
      <x:c r="P17" s="4" t="str">
        <x:v>Free permission/referral pilot first; possible measured sponsorship later</x:v>
      </x:c>
      <x:c r="Q17" s="4" t="str">
        <x:v>$0 pilot; optional $100–300/month only after audience proof</x:v>
      </x:c>
      <x:c r="R17" s="4" t="str">
        <x:v>10–25% (subjective)</x:v>
      </x:c>
      <x:c r="S17" s="4" t="n">
        <x:v>2</x:v>
      </x:c>
      <x:c r="T17" s="12" t="n">
        <x:v>46331</x:v>
      </x:c>
      <x:c r="U17" s="12" t="n">
        <x:v>46338</x:v>
      </x:c>
      <x:c r="V17" s="4" t="str">
        <x:v>Research ready — reverify before send</x:v>
      </x:c>
      <x:c r="W17" s="4" t="str">
        <x:v>N/A</x:v>
      </x:c>
      <x:c r="X17" s="4" t="str">
        <x:v>Direct marketing team and clear imagery permission policy; good later rights-respecting regional pilot.</x:v>
      </x:c>
      <x:c r="Y17" s="4" t="n">
        <x:v>3</x:v>
      </x:c>
      <x:c r="Z17" s="4" t="n">
        <x:v>4</x:v>
      </x:c>
      <x:c r="AA17" s="4" t="n">
        <x:v>3</x:v>
      </x:c>
      <x:c r="AB17" s="4" t="n">
        <x:v>3</x:v>
      </x:c>
      <x:c r="AC17" s="4" t="n">
        <x:v>3</x:v>
      </x:c>
      <x:c r="AD17" s="4" t="n">
        <x:f>Y17*Z17*AA17*AB17*AC17</x:f>
        <x:v>324</x:v>
      </x:c>
      <x:c r="AE17" s="4" t="str">
        <x:v>N/A</x:v>
      </x:c>
      <x:c r="AF17" s="4" t="n">
        <x:v>14</x:v>
      </x:c>
      <x:c r="AG17" s="4" t="str">
        <x:v>https://bridgerbowl.com/contact/</x:v>
      </x:c>
      <x:c r="AH17" s="4" t="str">
        <x:v>N/A</x:v>
      </x:c>
      <x:c r="AI17" s="12" t="n">
        <x:v>46274</x:v>
      </x:c>
      <x:c r="AJ17" s="4" t="str">
        <x:v>Public first-party business route researched; no delivery test or buyer authority confirmed</x:v>
      </x:c>
      <x:c r="AK17" s="4" t="str">
        <x:v>PeakCam × Bridger Bowl: small ski-season pilot</x:v>
      </x:c>
      <x:c r="AL17" s="4" t="str">
        <x:v>Hi Bridger Bowl team,
I’m Jared, the founder of PeakCam (peakcam.io), a small mountain-camera finder currently starting with three Colorado resorts. Direct marketing team and clear imagery permission policy; good later rights-respecting regional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8" ht="58" customHeight="1">
      <x:c r="A18" s="4" t="str">
        <x:v>PC-017</x:v>
      </x:c>
      <x:c r="B18" s="4" t="str">
        <x:v>P2 — after core proof</x:v>
      </x:c>
      <x:c r="C18" s="4" t="str">
        <x:v>Lost Trail Ski Area</x:v>
      </x:c>
      <x:c r="D18" s="4" t="str">
        <x:v>Resort</x:v>
      </x:c>
      <x:c r="E18" s="4" t="str">
        <x:v>Sula, Montana</x:v>
      </x:c>
      <x:c r="F18" s="4" t="str">
        <x:v>https://losttrail.com</x:v>
      </x:c>
      <x:c r="G18" s="4" t="str">
        <x:v>N/A</x:v>
      </x:c>
      <x:c r="H18" s="4" t="str">
        <x:v>N/A</x:v>
      </x:c>
      <x:c r="I18" s="4" t="str">
        <x:v>Marketing / partnerships (routing request)</x:v>
      </x:c>
      <x:c r="J18" s="4" t="str">
        <x:v>ski@LostTrail.com</x:v>
      </x:c>
      <x:c r="K18" s="4" t="str">
        <x:v>N/A</x:v>
      </x:c>
      <x:c r="L18" s="4" t="str">
        <x:v>406-821-3211</x:v>
      </x:c>
      <x:c r="M18" s="4" t="str">
        <x:v>https://losttrail.com/lost-trail-policies/</x:v>
      </x:c>
      <x:c r="N18" s="4" t="str">
        <x:v>N/A</x:v>
      </x:c>
      <x:c r="O18" s="4" t="str">
        <x:v>An attributed, link-first Colorado camera discovery pilot; embeds only with written permission</x:v>
      </x:c>
      <x:c r="P18" s="4" t="str">
        <x:v>Free permission/referral pilot first; possible measured sponsorship later</x:v>
      </x:c>
      <x:c r="Q18" s="4" t="str">
        <x:v>$0 pilot; optional $100–300/month only after audience proof</x:v>
      </x:c>
      <x:c r="R18" s="4" t="str">
        <x:v>10–25% (subjective)</x:v>
      </x:c>
      <x:c r="S18" s="4" t="n">
        <x:v>2</x:v>
      </x:c>
      <x:c r="T18" s="12" t="n">
        <x:v>46331</x:v>
      </x:c>
      <x:c r="U18" s="12" t="n">
        <x:v>46338</x:v>
      </x:c>
      <x:c r="V18" s="4" t="str">
        <x:v>Research ready — reverify before send</x:v>
      </x:c>
      <x:c r="W18" s="4" t="str">
        <x:v>N/A</x:v>
      </x:c>
      <x:c r="X18" s="4" t="str">
        <x:v>Accessible small-area team, snow-focused users and source-link distribution opportunity.</x:v>
      </x:c>
      <x:c r="Y18" s="4" t="n">
        <x:v>3</x:v>
      </x:c>
      <x:c r="Z18" s="4" t="n">
        <x:v>4</x:v>
      </x:c>
      <x:c r="AA18" s="4" t="n">
        <x:v>3</x:v>
      </x:c>
      <x:c r="AB18" s="4" t="n">
        <x:v>3</x:v>
      </x:c>
      <x:c r="AC18" s="4" t="n">
        <x:v>3</x:v>
      </x:c>
      <x:c r="AD18" s="4" t="n">
        <x:f>Y18*Z18*AA18*AB18*AC18</x:f>
        <x:v>324</x:v>
      </x:c>
      <x:c r="AE18" s="4" t="str">
        <x:v>N/A</x:v>
      </x:c>
      <x:c r="AF18" s="4" t="n">
        <x:v>15</x:v>
      </x:c>
      <x:c r="AG18" s="4" t="str">
        <x:v>https://losttrail.com/lost-trail-policies/</x:v>
      </x:c>
      <x:c r="AH18" s="4" t="str">
        <x:v>N/A</x:v>
      </x:c>
      <x:c r="AI18" s="12" t="n">
        <x:v>46274</x:v>
      </x:c>
      <x:c r="AJ18" s="4" t="str">
        <x:v>Public first-party business route researched; no delivery test or buyer authority confirmed</x:v>
      </x:c>
      <x:c r="AK18" s="4" t="str">
        <x:v>PeakCam × Lost Trail Ski Area: small ski-season pilot</x:v>
      </x:c>
      <x:c r="AL18" s="4" t="str">
        <x:v>Hi Lost Trail Ski Area team,
I’m Jared, the founder of PeakCam (peakcam.io), a small mountain-camera finder currently starting with three Colorado resorts. Accessible small-area team, snow-focused users and source-link distribution opportunity.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9" ht="58" customHeight="1">
      <x:c r="A19" s="4" t="str">
        <x:v>PC-018</x:v>
      </x:c>
      <x:c r="B19" s="4" t="str">
        <x:v>P2 — after core proof</x:v>
      </x:c>
      <x:c r="C19" s="4" t="str">
        <x:v>Brundage Mountain</x:v>
      </x:c>
      <x:c r="D19" s="4" t="str">
        <x:v>Resort</x:v>
      </x:c>
      <x:c r="E19" s="4" t="str">
        <x:v>McCall, Idaho</x:v>
      </x:c>
      <x:c r="F19" s="4" t="str">
        <x:v>https://brundage.com</x:v>
      </x:c>
      <x:c r="G19" s="4" t="str">
        <x:v>April Whitney</x:v>
      </x:c>
      <x:c r="H19" s="4" t="str">
        <x:v>Media inquiries contact</x:v>
      </x:c>
      <x:c r="I19" s="4" t="str">
        <x:v>Marketing / partnerships (routing request)</x:v>
      </x:c>
      <x:c r="J19" s="4" t="str">
        <x:v>N/A</x:v>
      </x:c>
      <x:c r="K19" s="4" t="str">
        <x:v>N/A</x:v>
      </x:c>
      <x:c r="L19" s="4" t="str">
        <x:v>208-634-6632</x:v>
      </x:c>
      <x:c r="M19" s="4" t="str">
        <x:v>https://brundage.com/media/</x:v>
      </x:c>
      <x:c r="N19" s="4" t="str">
        <x:v>N/A</x:v>
      </x:c>
      <x:c r="O19" s="4" t="str">
        <x:v>An attributed, link-first Colorado camera discovery pilot; embeds only with written permission</x:v>
      </x:c>
      <x:c r="P19" s="4" t="str">
        <x:v>Free permission/referral pilot first; possible measured sponsorship later</x:v>
      </x:c>
      <x:c r="Q19" s="4" t="str">
        <x:v>$0 pilot; optional $100–300/month only after audience proof</x:v>
      </x:c>
      <x:c r="R19" s="4" t="str">
        <x:v>10–25% (subjective)</x:v>
      </x:c>
      <x:c r="S19" s="4" t="n">
        <x:v>2</x:v>
      </x:c>
      <x:c r="T19" s="12" t="n">
        <x:v>46331</x:v>
      </x:c>
      <x:c r="U19" s="12" t="n">
        <x:v>46338</x:v>
      </x:c>
      <x:c r="V19" s="4" t="str">
        <x:v>Research ready — reverify before send</x:v>
      </x:c>
      <x:c r="W19" s="4" t="str">
        <x:v>N/A</x:v>
      </x:c>
      <x:c r="X19" s="4" t="str">
        <x:v>Named camera program and public media team; request permission-led regional expansion.</x:v>
      </x:c>
      <x:c r="Y19" s="4" t="n">
        <x:v>3</x:v>
      </x:c>
      <x:c r="Z19" s="4" t="n">
        <x:v>4</x:v>
      </x:c>
      <x:c r="AA19" s="4" t="n">
        <x:v>3</x:v>
      </x:c>
      <x:c r="AB19" s="4" t="n">
        <x:v>3</x:v>
      </x:c>
      <x:c r="AC19" s="4" t="n">
        <x:v>3</x:v>
      </x:c>
      <x:c r="AD19" s="4" t="n">
        <x:f>Y19*Z19*AA19*AB19*AC19</x:f>
        <x:v>324</x:v>
      </x:c>
      <x:c r="AE19" s="4" t="str">
        <x:v>N/A</x:v>
      </x:c>
      <x:c r="AF19" s="4" t="n">
        <x:v>16</x:v>
      </x:c>
      <x:c r="AG19" s="4" t="str">
        <x:v>https://brundage.com/media/</x:v>
      </x:c>
      <x:c r="AH19" s="4" t="str">
        <x:v>N/A</x:v>
      </x:c>
      <x:c r="AI19" s="12" t="n">
        <x:v>46274</x:v>
      </x:c>
      <x:c r="AJ19" s="4" t="str">
        <x:v>Public first-party business route researched; no delivery test or buyer authority confirmed</x:v>
      </x:c>
      <x:c r="AK19" s="4" t="str">
        <x:v>PeakCam × Brundage Mountain: small ski-season pilot</x:v>
      </x:c>
      <x:c r="AL19" s="4" t="str">
        <x:v>Hi April,
I’m Jared, the founder of PeakCam (peakcam.io), a small mountain-camera finder currently starting with three Colorado resorts. Named camera program and public media team; request permission-led regional expansion.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0" ht="58" customHeight="1">
      <x:c r="A20" s="4" t="str">
        <x:v>PC-019</x:v>
      </x:c>
      <x:c r="B20" s="4" t="str">
        <x:v>P2 — after core proof</x:v>
      </x:c>
      <x:c r="C20" s="4" t="str">
        <x:v>Magic Mountain</x:v>
      </x:c>
      <x:c r="D20" s="4" t="str">
        <x:v>Resort</x:v>
      </x:c>
      <x:c r="E20" s="4" t="str">
        <x:v>Londonderry, Vermont</x:v>
      </x:c>
      <x:c r="F20" s="4" t="str">
        <x:v>https://www.magicmtn.com</x:v>
      </x:c>
      <x:c r="G20" s="4" t="str">
        <x:v>N/A</x:v>
      </x:c>
      <x:c r="H20" s="4" t="str">
        <x:v>Media inquiries / events / group sales</x:v>
      </x:c>
      <x:c r="I20" s="4" t="str">
        <x:v>Marketing / partnerships (routing request)</x:v>
      </x:c>
      <x:c r="J20" s="4" t="str">
        <x:v>omauk@magicmtn.com</x:v>
      </x:c>
      <x:c r="K20" s="4" t="str">
        <x:v>N/A</x:v>
      </x:c>
      <x:c r="L20" s="4" t="str">
        <x:v>802-824-5645</x:v>
      </x:c>
      <x:c r="M20" s="4" t="str">
        <x:v>https://www.magicmtn.com/</x:v>
      </x:c>
      <x:c r="N20" s="4" t="str">
        <x:v>N/A</x:v>
      </x:c>
      <x:c r="O20" s="4" t="str">
        <x:v>An attributed, link-first Colorado camera discovery pilot; embeds only with written permission</x:v>
      </x:c>
      <x:c r="P20" s="4" t="str">
        <x:v>Free permission/referral pilot first; possible measured sponsorship later</x:v>
      </x:c>
      <x:c r="Q20" s="4" t="str">
        <x:v>$0 pilot; optional $100–300/month only after audience proof</x:v>
      </x:c>
      <x:c r="R20" s="4" t="str">
        <x:v>10–25% (subjective)</x:v>
      </x:c>
      <x:c r="S20" s="4" t="n">
        <x:v>2</x:v>
      </x:c>
      <x:c r="T20" s="12" t="n">
        <x:v>46331</x:v>
      </x:c>
      <x:c r="U20" s="12" t="n">
        <x:v>46338</x:v>
      </x:c>
      <x:c r="V20" s="4" t="str">
        <x:v>Research ready — reverify before send</x:v>
      </x:c>
      <x:c r="W20" s="4" t="str">
        <x:v>N/A</x:v>
      </x:c>
      <x:c r="X20" s="4" t="str">
        <x:v>Small Northeast resort with a directly published media channel; later local-repeat pilot.</x:v>
      </x:c>
      <x:c r="Y20" s="4" t="n">
        <x:v>3</x:v>
      </x:c>
      <x:c r="Z20" s="4" t="n">
        <x:v>4</x:v>
      </x:c>
      <x:c r="AA20" s="4" t="n">
        <x:v>3</x:v>
      </x:c>
      <x:c r="AB20" s="4" t="n">
        <x:v>3</x:v>
      </x:c>
      <x:c r="AC20" s="4" t="n">
        <x:v>3</x:v>
      </x:c>
      <x:c r="AD20" s="4" t="n">
        <x:f>Y20*Z20*AA20*AB20*AC20</x:f>
        <x:v>324</x:v>
      </x:c>
      <x:c r="AE20" s="4" t="str">
        <x:v>N/A</x:v>
      </x:c>
      <x:c r="AF20" s="4" t="n">
        <x:v>17</x:v>
      </x:c>
      <x:c r="AG20" s="4" t="str">
        <x:v>https://www.magicmtn.com/</x:v>
      </x:c>
      <x:c r="AH20" s="4" t="str">
        <x:v>N/A</x:v>
      </x:c>
      <x:c r="AI20" s="12" t="n">
        <x:v>46274</x:v>
      </x:c>
      <x:c r="AJ20" s="4" t="str">
        <x:v>Public first-party business route researched; no delivery test or buyer authority confirmed</x:v>
      </x:c>
      <x:c r="AK20" s="4" t="str">
        <x:v>PeakCam × Magic Mountain: small ski-season pilot</x:v>
      </x:c>
      <x:c r="AL20" s="4" t="str">
        <x:v>Hi Magic Mountain team,
I’m Jared, the founder of PeakCam (peakcam.io), a small mountain-camera finder currently starting with three Colorado resorts. Small Northeast resort with a directly published media channel; later local-repeat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1" ht="58" customHeight="1">
      <x:c r="A21" s="4" t="str">
        <x:v>PC-020</x:v>
      </x:c>
      <x:c r="B21" s="4" t="str">
        <x:v>P2 — after core proof</x:v>
      </x:c>
      <x:c r="C21" s="4" t="str">
        <x:v>Mad River Glen</x:v>
      </x:c>
      <x:c r="D21" s="4" t="str">
        <x:v>Resort</x:v>
      </x:c>
      <x:c r="E21" s="4" t="str">
        <x:v>Waitsfield, Vermont</x:v>
      </x:c>
      <x:c r="F21" s="4" t="str">
        <x:v>https://www.madriverglen.com</x:v>
      </x:c>
      <x:c r="G21" s="4" t="str">
        <x:v>Matt Lillard</x:v>
      </x:c>
      <x:c r="H21" s="4" t="str">
        <x:v>General Manager</x:v>
      </x:c>
      <x:c r="I21" s="4" t="str">
        <x:v>Marketing / partnerships (routing request)</x:v>
      </x:c>
      <x:c r="J21" s="4" t="str">
        <x:v>matt@madriverglen.com</x:v>
      </x:c>
      <x:c r="K21" s="4" t="str">
        <x:v>N/A</x:v>
      </x:c>
      <x:c r="L21" s="4" t="str">
        <x:v>N/A</x:v>
      </x:c>
      <x:c r="M21" s="4" t="str">
        <x:v>https://skivermont.com/pr-contacts</x:v>
      </x:c>
      <x:c r="N21" s="4" t="str">
        <x:v>N/A</x:v>
      </x:c>
      <x:c r="O21" s="4" t="str">
        <x:v>An attributed, link-first Colorado camera discovery pilot; embeds only with written permission</x:v>
      </x:c>
      <x:c r="P21" s="4" t="str">
        <x:v>Free permission/referral pilot first; possible measured sponsorship later</x:v>
      </x:c>
      <x:c r="Q21" s="4" t="str">
        <x:v>$0 pilot; optional $100–300/month only after audience proof</x:v>
      </x:c>
      <x:c r="R21" s="4" t="str">
        <x:v>10–25% (subjective)</x:v>
      </x:c>
      <x:c r="S21" s="4" t="n">
        <x:v>2</x:v>
      </x:c>
      <x:c r="T21" s="12" t="n">
        <x:v>46331</x:v>
      </x:c>
      <x:c r="U21" s="12" t="n">
        <x:v>46338</x:v>
      </x:c>
      <x:c r="V21" s="4" t="str">
        <x:v>Research ready — reverify before send</x:v>
      </x:c>
      <x:c r="W21" s="4" t="str">
        <x:v>Contact verified through Ski Vermont PR directory; reconfirm current role.</x:v>
      </x:c>
      <x:c r="X21" s="4" t="str">
        <x:v>Community-oriented audience; directory-listed general manager for a permission and referral pilot.</x:v>
      </x:c>
      <x:c r="Y21" s="4" t="n">
        <x:v>3</x:v>
      </x:c>
      <x:c r="Z21" s="4" t="n">
        <x:v>4</x:v>
      </x:c>
      <x:c r="AA21" s="4" t="n">
        <x:v>3</x:v>
      </x:c>
      <x:c r="AB21" s="4" t="n">
        <x:v>3</x:v>
      </x:c>
      <x:c r="AC21" s="4" t="n">
        <x:v>3</x:v>
      </x:c>
      <x:c r="AD21" s="4" t="n">
        <x:f>Y21*Z21*AA21*AB21*AC21</x:f>
        <x:v>324</x:v>
      </x:c>
      <x:c r="AE21" s="4" t="str">
        <x:v>N/A</x:v>
      </x:c>
      <x:c r="AF21" s="4" t="n">
        <x:v>18</x:v>
      </x:c>
      <x:c r="AG21" s="4" t="str">
        <x:v>https://skivermont.com/pr-contacts</x:v>
      </x:c>
      <x:c r="AH21" s="4" t="str">
        <x:v>N/A</x:v>
      </x:c>
      <x:c r="AI21" s="12" t="n">
        <x:v>46274</x:v>
      </x:c>
      <x:c r="AJ21" s="4" t="str">
        <x:v>Public directory/business-profile route; reverify with organization</x:v>
      </x:c>
      <x:c r="AK21" s="4" t="str">
        <x:v>PeakCam × Mad River Glen: small ski-season pilot</x:v>
      </x:c>
      <x:c r="AL21" s="4" t="str">
        <x:v>Hi Matt,
I’m Jared, the founder of PeakCam (peakcam.io), a small mountain-camera finder currently starting with three Colorado resorts. Community-oriented audience; directory-listed general manager for a permission and referral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2" ht="58" customHeight="1">
      <x:c r="A22" s="4" t="str">
        <x:v>PC-021</x:v>
      </x:c>
      <x:c r="B22" s="4" t="str">
        <x:v>P2 — after core proof</x:v>
      </x:c>
      <x:c r="C22" s="4" t="str">
        <x:v>Jay Peak Resort</x:v>
      </x:c>
      <x:c r="D22" s="4" t="str">
        <x:v>Resort</x:v>
      </x:c>
      <x:c r="E22" s="4" t="str">
        <x:v>Jay, Vermont</x:v>
      </x:c>
      <x:c r="F22" s="4" t="str">
        <x:v>https://jaypeakresort.com</x:v>
      </x:c>
      <x:c r="G22" s="4" t="str">
        <x:v>Dehlia Wright</x:v>
      </x:c>
      <x:c r="H22" s="4" t="str">
        <x:v>Communications Manager</x:v>
      </x:c>
      <x:c r="I22" s="4" t="str">
        <x:v>Marketing / partnerships (routing request)</x:v>
      </x:c>
      <x:c r="J22" s="4" t="str">
        <x:v>dwright@jaypeakresort.com</x:v>
      </x:c>
      <x:c r="K22" s="4" t="str">
        <x:v>N/A</x:v>
      </x:c>
      <x:c r="L22" s="4" t="str">
        <x:v>802-327-2210</x:v>
      </x:c>
      <x:c r="M22" s="4" t="str">
        <x:v>https://skivermont.com/pr-contacts</x:v>
      </x:c>
      <x:c r="N22" s="4" t="str">
        <x:v>N/A</x:v>
      </x:c>
      <x:c r="O22" s="4" t="str">
        <x:v>An attributed, link-first Colorado camera discovery pilot; embeds only with written permission</x:v>
      </x:c>
      <x:c r="P22" s="4" t="str">
        <x:v>Free permission/referral pilot first; possible measured sponsorship later</x:v>
      </x:c>
      <x:c r="Q22" s="4" t="str">
        <x:v>$0 pilot; optional $100–300/month only after audience proof</x:v>
      </x:c>
      <x:c r="R22" s="4" t="str">
        <x:v>10–25% (subjective)</x:v>
      </x:c>
      <x:c r="S22" s="4" t="n">
        <x:v>2</x:v>
      </x:c>
      <x:c r="T22" s="12" t="n">
        <x:v>46338</x:v>
      </x:c>
      <x:c r="U22" s="12" t="n">
        <x:v>46345</x:v>
      </x:c>
      <x:c r="V22" s="4" t="str">
        <x:v>Research ready — reverify before send</x:v>
      </x:c>
      <x:c r="W22" s="4" t="str">
        <x:v>Industry association PR directory; not an advertising buying commitment.</x:v>
      </x:c>
      <x:c r="X22" s="4" t="str">
        <x:v>Later Northeast camera pilot; a named communications route within PGR.</x:v>
      </x:c>
      <x:c r="Y22" s="4" t="n">
        <x:v>3</x:v>
      </x:c>
      <x:c r="Z22" s="4" t="n">
        <x:v>4</x:v>
      </x:c>
      <x:c r="AA22" s="4" t="n">
        <x:v>3</x:v>
      </x:c>
      <x:c r="AB22" s="4" t="n">
        <x:v>3</x:v>
      </x:c>
      <x:c r="AC22" s="4" t="n">
        <x:v>3</x:v>
      </x:c>
      <x:c r="AD22" s="4" t="n">
        <x:f>Y22*Z22*AA22*AB22*AC22</x:f>
        <x:v>324</x:v>
      </x:c>
      <x:c r="AE22" s="4" t="str">
        <x:v>N/A</x:v>
      </x:c>
      <x:c r="AF22" s="4" t="n">
        <x:v>19</x:v>
      </x:c>
      <x:c r="AG22" s="4" t="str">
        <x:v>https://skivermont.com/pr-contacts</x:v>
      </x:c>
      <x:c r="AH22" s="4" t="str">
        <x:v>N/A</x:v>
      </x:c>
      <x:c r="AI22" s="12" t="n">
        <x:v>46274</x:v>
      </x:c>
      <x:c r="AJ22" s="4" t="str">
        <x:v>Public directory/business-profile route; reverify with organization</x:v>
      </x:c>
      <x:c r="AK22" s="4" t="str">
        <x:v>PeakCam × Jay Peak Resort: small ski-season pilot</x:v>
      </x:c>
      <x:c r="AL22" s="4" t="str">
        <x:v>Hi Dehlia,
I’m Jared, the founder of PeakCam (peakcam.io), a small mountain-camera finder currently starting with three Colorado resorts. Later Northeast camera pilot; a named communications route within PGR.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3" ht="58" customHeight="1">
      <x:c r="A23" s="4" t="str">
        <x:v>PC-022</x:v>
      </x:c>
      <x:c r="B23" s="4" t="str">
        <x:v>P2 — after core proof</x:v>
      </x:c>
      <x:c r="C23" s="4" t="str">
        <x:v>Killington Resort</x:v>
      </x:c>
      <x:c r="D23" s="4" t="str">
        <x:v>Resort</x:v>
      </x:c>
      <x:c r="E23" s="4" t="str">
        <x:v>Killington, Vermont</x:v>
      </x:c>
      <x:c r="F23" s="4" t="str">
        <x:v>https://www.killington.com</x:v>
      </x:c>
      <x:c r="G23" s="4" t="str">
        <x:v>Josh Reed</x:v>
      </x:c>
      <x:c r="H23" s="4" t="str">
        <x:v>Communications Manager</x:v>
      </x:c>
      <x:c r="I23" s="4" t="str">
        <x:v>Marketing / partnerships (routing request)</x:v>
      </x:c>
      <x:c r="J23" s="4" t="str">
        <x:v>jreed@killington.com</x:v>
      </x:c>
      <x:c r="K23" s="4" t="str">
        <x:v>N/A</x:v>
      </x:c>
      <x:c r="L23" s="4" t="str">
        <x:v>802-770-9226</x:v>
      </x:c>
      <x:c r="M23" s="4" t="str">
        <x:v>https://skivermont.com/pr-contacts</x:v>
      </x:c>
      <x:c r="N23" s="4" t="str">
        <x:v>N/A</x:v>
      </x:c>
      <x:c r="O23" s="4" t="str">
        <x:v>An attributed, link-first Colorado camera discovery pilot; embeds only with written permission</x:v>
      </x:c>
      <x:c r="P23" s="4" t="str">
        <x:v>Free permission/referral pilot first; possible measured sponsorship later</x:v>
      </x:c>
      <x:c r="Q23" s="4" t="str">
        <x:v>$0 pilot; optional $100–300/month only after audience proof</x:v>
      </x:c>
      <x:c r="R23" s="4" t="str">
        <x:v>10–25% (subjective)</x:v>
      </x:c>
      <x:c r="S23" s="4" t="n">
        <x:v>2</x:v>
      </x:c>
      <x:c r="T23" s="12" t="n">
        <x:v>46338</x:v>
      </x:c>
      <x:c r="U23" s="12" t="n">
        <x:v>46345</x:v>
      </x:c>
      <x:c r="V23" s="4" t="str">
        <x:v>Research ready — reverify before send</x:v>
      </x:c>
      <x:c r="W23" s="4" t="str">
        <x:v>N/A</x:v>
      </x:c>
      <x:c r="X23" s="4" t="str">
        <x:v>Later opening-season camera interest; request source verification rather than paid sponsorship.</x:v>
      </x:c>
      <x:c r="Y23" s="4" t="n">
        <x:v>3</x:v>
      </x:c>
      <x:c r="Z23" s="4" t="n">
        <x:v>4</x:v>
      </x:c>
      <x:c r="AA23" s="4" t="n">
        <x:v>3</x:v>
      </x:c>
      <x:c r="AB23" s="4" t="n">
        <x:v>3</x:v>
      </x:c>
      <x:c r="AC23" s="4" t="n">
        <x:v>3</x:v>
      </x:c>
      <x:c r="AD23" s="4" t="n">
        <x:f>Y23*Z23*AA23*AB23*AC23</x:f>
        <x:v>324</x:v>
      </x:c>
      <x:c r="AE23" s="4" t="str">
        <x:v>N/A</x:v>
      </x:c>
      <x:c r="AF23" s="4" t="str">
        <x:v>N/A</x:v>
      </x:c>
      <x:c r="AG23" s="4" t="str">
        <x:v>https://skivermont.com/pr-contacts</x:v>
      </x:c>
      <x:c r="AH23" s="4" t="str">
        <x:v>N/A</x:v>
      </x:c>
      <x:c r="AI23" s="12" t="n">
        <x:v>46274</x:v>
      </x:c>
      <x:c r="AJ23" s="4" t="str">
        <x:v>Public first-party business route researched; no delivery test or buyer authority confirmed</x:v>
      </x:c>
      <x:c r="AK23" s="4" t="str">
        <x:v>PeakCam × Killington Resort: small ski-season pilot</x:v>
      </x:c>
      <x:c r="AL23" s="4" t="str">
        <x:v>Hi Josh,
I’m Jared, the founder of PeakCam (peakcam.io), a small mountain-camera finder currently starting with three Colorado resorts. Later opening-season camera interest; request source verification rather than paid sponsorship.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4" ht="58" customHeight="1">
      <x:c r="A24" s="4" t="str">
        <x:v>PC-023</x:v>
      </x:c>
      <x:c r="B24" s="4" t="str">
        <x:v>P2 — after core proof</x:v>
      </x:c>
      <x:c r="C24" s="4" t="str">
        <x:v>Middlebury Snowbowl</x:v>
      </x:c>
      <x:c r="D24" s="4" t="str">
        <x:v>Resort</x:v>
      </x:c>
      <x:c r="E24" s="4" t="str">
        <x:v>Hancock, Vermont</x:v>
      </x:c>
      <x:c r="F24" s="4" t="str">
        <x:v>https://www.middleburysnowbowl.com</x:v>
      </x:c>
      <x:c r="G24" s="4" t="str">
        <x:v>Kim Essensa</x:v>
      </x:c>
      <x:c r="H24" s="4" t="str">
        <x:v>General Manager</x:v>
      </x:c>
      <x:c r="I24" s="4" t="str">
        <x:v>Marketing / partnerships (routing request)</x:v>
      </x:c>
      <x:c r="J24" s="4" t="str">
        <x:v>kessensa@middlebury.edu</x:v>
      </x:c>
      <x:c r="K24" s="4" t="str">
        <x:v>N/A</x:v>
      </x:c>
      <x:c r="L24" s="4" t="str">
        <x:v>802-443-2792</x:v>
      </x:c>
      <x:c r="M24" s="4" t="str">
        <x:v>https://skivermont.com/pr-contacts</x:v>
      </x:c>
      <x:c r="N24" s="4" t="str">
        <x:v>N/A</x:v>
      </x:c>
      <x:c r="O24" s="4" t="str">
        <x:v>An attributed, link-first Colorado camera discovery pilot; embeds only with written permission</x:v>
      </x:c>
      <x:c r="P24" s="4" t="str">
        <x:v>Free permission/referral pilot first; possible measured sponsorship later</x:v>
      </x:c>
      <x:c r="Q24" s="4" t="str">
        <x:v>$0 pilot; optional $100–300/month only after audience proof</x:v>
      </x:c>
      <x:c r="R24" s="4" t="str">
        <x:v>10–25% (subjective)</x:v>
      </x:c>
      <x:c r="S24" s="4" t="n">
        <x:v>2</x:v>
      </x:c>
      <x:c r="T24" s="12" t="n">
        <x:v>46338</x:v>
      </x:c>
      <x:c r="U24" s="12" t="n">
        <x:v>46345</x:v>
      </x:c>
      <x:c r="V24" s="4" t="str">
        <x:v>Research ready — reverify before send</x:v>
      </x:c>
      <x:c r="W24" s="4" t="str">
        <x:v>N/A</x:v>
      </x:c>
      <x:c r="X24" s="4" t="str">
        <x:v>Small-area and university distribution experiment; confirm coverage before contacting.</x:v>
      </x:c>
      <x:c r="Y24" s="4" t="n">
        <x:v>3</x:v>
      </x:c>
      <x:c r="Z24" s="4" t="n">
        <x:v>4</x:v>
      </x:c>
      <x:c r="AA24" s="4" t="n">
        <x:v>3</x:v>
      </x:c>
      <x:c r="AB24" s="4" t="n">
        <x:v>3</x:v>
      </x:c>
      <x:c r="AC24" s="4" t="n">
        <x:v>3</x:v>
      </x:c>
      <x:c r="AD24" s="4" t="n">
        <x:f>Y24*Z24*AA24*AB24*AC24</x:f>
        <x:v>324</x:v>
      </x:c>
      <x:c r="AE24" s="4" t="str">
        <x:v>N/A</x:v>
      </x:c>
      <x:c r="AF24" s="4" t="n">
        <x:v>20</x:v>
      </x:c>
      <x:c r="AG24" s="4" t="str">
        <x:v>https://skivermont.com/pr-contacts</x:v>
      </x:c>
      <x:c r="AH24" s="4" t="str">
        <x:v>N/A</x:v>
      </x:c>
      <x:c r="AI24" s="12" t="n">
        <x:v>46274</x:v>
      </x:c>
      <x:c r="AJ24" s="4" t="str">
        <x:v>Public first-party business route researched; no delivery test or buyer authority confirmed</x:v>
      </x:c>
      <x:c r="AK24" s="4" t="str">
        <x:v>PeakCam × Middlebury Snowbowl: small ski-season pilot</x:v>
      </x:c>
      <x:c r="AL24" s="4" t="str">
        <x:v>Hi Kim,
I’m Jared, the founder of PeakCam (peakcam.io), a small mountain-camera finder currently starting with three Colorado resorts. Small-area and university distribution experiment; confirm coverage before contacting.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5" ht="58" customHeight="1">
      <x:c r="A25" s="4" t="str">
        <x:v>PC-024</x:v>
      </x:c>
      <x:c r="B25" s="4" t="str">
        <x:v>P3 — later / discovery</x:v>
      </x:c>
      <x:c r="C25" s="4" t="str">
        <x:v>Vail Resorts</x:v>
      </x:c>
      <x:c r="D25" s="4" t="str">
        <x:v>Resort operator</x:v>
      </x:c>
      <x:c r="E25" s="4" t="str">
        <x:v>Broomfield, Colorado</x:v>
      </x:c>
      <x:c r="F25" s="4" t="str">
        <x:v>https://www.vailresorts.com</x:v>
      </x:c>
      <x:c r="G25" s="4" t="str">
        <x:v>N/A</x:v>
      </x:c>
      <x:c r="H25" s="4" t="str">
        <x:v>N/A</x:v>
      </x:c>
      <x:c r="I25" s="4" t="str">
        <x:v>Marketing / partnerships (routing request)</x:v>
      </x:c>
      <x:c r="J25" s="4" t="str">
        <x:v>news@vailresorts.com</x:v>
      </x:c>
      <x:c r="K25" s="4" t="str">
        <x:v>N/A</x:v>
      </x:c>
      <x:c r="L25" s="4" t="str">
        <x:v>303-404-1800</x:v>
      </x:c>
      <x:c r="M25" s="4" t="str">
        <x:v>https://www.vailresorts.com/contact/</x:v>
      </x:c>
      <x:c r="N25" s="4" t="str">
        <x:v>N/A</x:v>
      </x:c>
      <x:c r="O25" s="4" t="str">
        <x:v>An attributed, link-first Colorado camera discovery pilot; embeds only with written permission</x:v>
      </x:c>
      <x:c r="P25" s="4" t="str">
        <x:v>Free permission/referral pilot first; possible measured sponsorship later</x:v>
      </x:c>
      <x:c r="Q25" s="4" t="str">
        <x:v>$0 pilot; optional $100–300/month only after audience proof</x:v>
      </x:c>
      <x:c r="R25" s="4" t="str">
        <x:v>10–25% (subjective)</x:v>
      </x:c>
      <x:c r="S25" s="4" t="n">
        <x:v>2</x:v>
      </x:c>
      <x:c r="T25" s="12" t="n">
        <x:v>46357</x:v>
      </x:c>
      <x:c r="U25" s="12" t="n">
        <x:v>46364</x:v>
      </x:c>
      <x:c r="V25" s="4" t="str">
        <x:v>Research ready — reverify before send</x:v>
      </x:c>
      <x:c r="W25" s="4" t="str">
        <x:v>Email is MEDIA routing, not confirmed partnership sales. No public Epic affiliate rate established.</x:v>
      </x:c>
      <x:c r="X25" s="4" t="str">
        <x:v>Clarify Breckenridge camera distribution rights and route to resort digital teams.</x:v>
      </x:c>
      <x:c r="Y25" s="4" t="n">
        <x:v>2</x:v>
      </x:c>
      <x:c r="Z25" s="4" t="n">
        <x:v>3</x:v>
      </x:c>
      <x:c r="AA25" s="4" t="n">
        <x:v>3</x:v>
      </x:c>
      <x:c r="AB25" s="4" t="n">
        <x:v>3</x:v>
      </x:c>
      <x:c r="AC25" s="4" t="n">
        <x:v>2</x:v>
      </x:c>
      <x:c r="AD25" s="4" t="n">
        <x:f>Y25*Z25*AA25*AB25*AC25</x:f>
        <x:v>108</x:v>
      </x:c>
      <x:c r="AE25" s="4" t="str">
        <x:v>N/A</x:v>
      </x:c>
      <x:c r="AF25" s="4" t="str">
        <x:v>N/A</x:v>
      </x:c>
      <x:c r="AG25" s="4" t="str">
        <x:v>https://www.vailresorts.com/contact/</x:v>
      </x:c>
      <x:c r="AH25" s="4" t="str">
        <x:v>N/A</x:v>
      </x:c>
      <x:c r="AI25" s="12" t="n">
        <x:v>46274</x:v>
      </x:c>
      <x:c r="AJ25" s="4" t="str">
        <x:v>Public first-party business route researched; no delivery test or buyer authority confirmed</x:v>
      </x:c>
      <x:c r="AK25" s="4" t="str">
        <x:v>PeakCam × Vail Resorts: small ski-season pilot</x:v>
      </x:c>
      <x:c r="AL25" s="4" t="str">
        <x:v>Hi Vail Resorts team,
I’m Jared, the founder of PeakCam (peakcam.io), a small mountain-camera finder currently starting with three Colorado resorts. Clarify Breckenridge camera distribution rights and route to resort digital teams.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6" ht="58" customHeight="1">
      <x:c r="A26" s="4" t="str">
        <x:v>PC-025</x:v>
      </x:c>
      <x:c r="B26" s="4" t="str">
        <x:v>P3 — later / discovery</x:v>
      </x:c>
      <x:c r="C26" s="4" t="str">
        <x:v>Alterra Mountain Company</x:v>
      </x:c>
      <x:c r="D26" s="4" t="str">
        <x:v>Resort operator</x:v>
      </x:c>
      <x:c r="E26" s="4" t="str">
        <x:v>Denver, Colorado</x:v>
      </x:c>
      <x:c r="F26" s="4" t="str">
        <x:v>https://www.alterramtn.co</x:v>
      </x:c>
      <x:c r="G26" s="4" t="str">
        <x:v>N/A</x:v>
      </x:c>
      <x:c r="H26" s="4" t="str">
        <x:v>N/A</x:v>
      </x:c>
      <x:c r="I26" s="4" t="str">
        <x:v>Marketing / partnerships (routing request)</x:v>
      </x:c>
      <x:c r="J26" s="4" t="str">
        <x:v>contact@alterramtn.co</x:v>
      </x:c>
      <x:c r="K26" s="4" t="str">
        <x:v>N/A</x:v>
      </x:c>
      <x:c r="L26" s="4" t="str">
        <x:v>303-749-8200</x:v>
      </x:c>
      <x:c r="M26" s="4" t="str">
        <x:v>https://www.alterramtn.co/en/become-a-partner</x:v>
      </x:c>
      <x:c r="N26" s="4" t="str">
        <x:v>N/A</x:v>
      </x:c>
      <x:c r="O26" s="4" t="str">
        <x:v>An attributed, link-first Colorado camera discovery pilot; embeds only with written permission</x:v>
      </x:c>
      <x:c r="P26" s="4" t="str">
        <x:v>Free permission/referral pilot first; possible measured sponsorship later</x:v>
      </x:c>
      <x:c r="Q26" s="4" t="str">
        <x:v>$0 pilot; optional $100–300/month only after audience proof</x:v>
      </x:c>
      <x:c r="R26" s="4" t="str">
        <x:v>10–25% (subjective)</x:v>
      </x:c>
      <x:c r="S26" s="4" t="n">
        <x:v>2</x:v>
      </x:c>
      <x:c r="T26" s="12" t="n">
        <x:v>46357</x:v>
      </x:c>
      <x:c r="U26" s="12" t="n">
        <x:v>46364</x:v>
      </x:c>
      <x:c r="V26" s="4" t="str">
        <x:v>Research ready — reverify before send</x:v>
      </x:c>
      <x:c r="W26" s="4" t="str">
        <x:v>Official partnership form; no inferred Ikon affiliate commission.</x:v>
      </x:c>
      <x:c r="X26" s="4" t="str">
        <x:v>Arapahoe Basin permission escalation and later multi-destination distribution.</x:v>
      </x:c>
      <x:c r="Y26" s="4" t="n">
        <x:v>2</x:v>
      </x:c>
      <x:c r="Z26" s="4" t="n">
        <x:v>3</x:v>
      </x:c>
      <x:c r="AA26" s="4" t="n">
        <x:v>3</x:v>
      </x:c>
      <x:c r="AB26" s="4" t="n">
        <x:v>3</x:v>
      </x:c>
      <x:c r="AC26" s="4" t="n">
        <x:v>2</x:v>
      </x:c>
      <x:c r="AD26" s="4" t="n">
        <x:f>Y26*Z26*AA26*AB26*AC26</x:f>
        <x:v>108</x:v>
      </x:c>
      <x:c r="AE26" s="4" t="str">
        <x:v>N/A</x:v>
      </x:c>
      <x:c r="AF26" s="4" t="str">
        <x:v>N/A</x:v>
      </x:c>
      <x:c r="AG26" s="4" t="str">
        <x:v>https://www.alterramtn.co/en/become-a-partner</x:v>
      </x:c>
      <x:c r="AH26" s="4" t="str">
        <x:v>https://www.alterramtn.co/en/contact-us</x:v>
      </x:c>
      <x:c r="AI26" s="12" t="n">
        <x:v>46274</x:v>
      </x:c>
      <x:c r="AJ26" s="4" t="str">
        <x:v>Public first-party business route researched; no delivery test or buyer authority confirmed</x:v>
      </x:c>
      <x:c r="AK26" s="4" t="str">
        <x:v>PeakCam × Alterra Mountain Company: small ski-season pilot</x:v>
      </x:c>
      <x:c r="AL26" s="4" t="str">
        <x:v>Hi Alterra Mountain Company team,
I’m Jared, the founder of PeakCam (peakcam.io), a small mountain-camera finder currently starting with three Colorado resorts. Arapahoe Basin permission escalation and later multi-destination distribution.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7" ht="58" customHeight="1">
      <x:c r="A27" s="4" t="str">
        <x:v>PC-026</x:v>
      </x:c>
      <x:c r="B27" s="4" t="str">
        <x:v>P3 — later / discovery</x:v>
      </x:c>
      <x:c r="C27" s="4" t="str">
        <x:v>Boyne Resorts</x:v>
      </x:c>
      <x:c r="D27" s="4" t="str">
        <x:v>Resort operator</x:v>
      </x:c>
      <x:c r="E27" s="4" t="str">
        <x:v>Petoskey, Michigan</x:v>
      </x:c>
      <x:c r="F27" s="4" t="str">
        <x:v>https://www.boyneresorts.com</x:v>
      </x:c>
      <x:c r="G27" s="4" t="str">
        <x:v>N/A</x:v>
      </x:c>
      <x:c r="H27" s="4" t="str">
        <x:v>N/A</x:v>
      </x:c>
      <x:c r="I27" s="4" t="str">
        <x:v>Marketing / partnerships (routing request)</x:v>
      </x:c>
      <x:c r="J27" s="4" t="str">
        <x:v>N/A</x:v>
      </x:c>
      <x:c r="K27" s="4" t="str">
        <x:v>N/A</x:v>
      </x:c>
      <x:c r="L27" s="4" t="str">
        <x:v>N/A</x:v>
      </x:c>
      <x:c r="M27" s="4" t="str">
        <x:v>https://www.boyneresorts.com/contact</x:v>
      </x:c>
      <x:c r="N27" s="4" t="str">
        <x:v>N/A</x:v>
      </x:c>
      <x:c r="O27" s="4" t="str">
        <x:v>An attributed, link-first Colorado camera discovery pilot; embeds only with written permission</x:v>
      </x:c>
      <x:c r="P27" s="4" t="str">
        <x:v>Free permission/referral pilot first; possible measured sponsorship later</x:v>
      </x:c>
      <x:c r="Q27" s="4" t="str">
        <x:v>$0 pilot; optional $100–300/month only after audience proof</x:v>
      </x:c>
      <x:c r="R27" s="4" t="str">
        <x:v>10–25% (subjective)</x:v>
      </x:c>
      <x:c r="S27" s="4" t="n">
        <x:v>2</x:v>
      </x:c>
      <x:c r="T27" s="12" t="n">
        <x:v>46357</x:v>
      </x:c>
      <x:c r="U27" s="12" t="n">
        <x:v>46364</x:v>
      </x:c>
      <x:c r="V27" s="4" t="str">
        <x:v>Research ready — reverify before send</x:v>
      </x:c>
      <x:c r="W27" s="4" t="str">
        <x:v>Official contact page explicitly routes advertising, marketing and media inquiries to individual resorts.</x:v>
      </x:c>
      <x:c r="X27" s="4" t="str">
        <x:v>Use operator directory to reach a single resort digital team first.</x:v>
      </x:c>
      <x:c r="Y27" s="4" t="n">
        <x:v>2</x:v>
      </x:c>
      <x:c r="Z27" s="4" t="n">
        <x:v>3</x:v>
      </x:c>
      <x:c r="AA27" s="4" t="n">
        <x:v>3</x:v>
      </x:c>
      <x:c r="AB27" s="4" t="n">
        <x:v>3</x:v>
      </x:c>
      <x:c r="AC27" s="4" t="n">
        <x:v>2</x:v>
      </x:c>
      <x:c r="AD27" s="4" t="n">
        <x:f>Y27*Z27*AA27*AB27*AC27</x:f>
        <x:v>108</x:v>
      </x:c>
      <x:c r="AE27" s="4" t="str">
        <x:v>N/A</x:v>
      </x:c>
      <x:c r="AF27" s="4" t="str">
        <x:v>N/A</x:v>
      </x:c>
      <x:c r="AG27" s="4" t="str">
        <x:v>https://www.boyneresorts.com/contact</x:v>
      </x:c>
      <x:c r="AH27" s="4" t="str">
        <x:v>N/A</x:v>
      </x:c>
      <x:c r="AI27" s="12" t="n">
        <x:v>46274</x:v>
      </x:c>
      <x:c r="AJ27" s="4" t="str">
        <x:v>Public first-party business route researched; no delivery test or buyer authority confirmed</x:v>
      </x:c>
      <x:c r="AK27" s="4" t="str">
        <x:v>PeakCam × Boyne Resorts: small ski-season pilot</x:v>
      </x:c>
      <x:c r="AL27" s="4" t="str">
        <x:v>Hi Boyne Resorts team,
I’m Jared, the founder of PeakCam (peakcam.io), a small mountain-camera finder currently starting with three Colorado resorts. Use operator directory to reach a single resort digital team first.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8" ht="58" customHeight="1">
      <x:c r="A28" s="4" t="str">
        <x:v>PC-027</x:v>
      </x:c>
      <x:c r="B28" s="4" t="str">
        <x:v>P2 — after core proof</x:v>
      </x:c>
      <x:c r="C28" s="4" t="str">
        <x:v>Mountain Capital Partners</x:v>
      </x:c>
      <x:c r="D28" s="4" t="str">
        <x:v>Resort operator</x:v>
      </x:c>
      <x:c r="E28" s="4" t="str">
        <x:v>Durango, Colorado</x:v>
      </x:c>
      <x:c r="F28" s="4" t="str">
        <x:v>https://www.mcp.ski</x:v>
      </x:c>
      <x:c r="G28" s="4" t="str">
        <x:v>N/A</x:v>
      </x:c>
      <x:c r="H28" s="4" t="str">
        <x:v>N/A</x:v>
      </x:c>
      <x:c r="I28" s="4" t="str">
        <x:v>Marketing / partnerships (routing request)</x:v>
      </x:c>
      <x:c r="J28" s="4" t="str">
        <x:v>info@mcp.ski</x:v>
      </x:c>
      <x:c r="K28" s="4" t="str">
        <x:v>N/A</x:v>
      </x:c>
      <x:c r="L28" s="4" t="str">
        <x:v>970-382-2890</x:v>
      </x:c>
      <x:c r="M28" s="4" t="str">
        <x:v>https://www.mcp.ski/contact</x:v>
      </x:c>
      <x:c r="N28" s="4" t="str">
        <x:v>N/A</x:v>
      </x:c>
      <x:c r="O28" s="4" t="str">
        <x:v>An attributed, link-first Colorado camera discovery pilot; embeds only with written permission</x:v>
      </x:c>
      <x:c r="P28" s="4" t="str">
        <x:v>Free permission/referral pilot first; possible measured sponsorship later</x:v>
      </x:c>
      <x:c r="Q28" s="4" t="str">
        <x:v>$0 pilot; optional $100–300/month only after audience proof</x:v>
      </x:c>
      <x:c r="R28" s="4" t="str">
        <x:v>10–25% (subjective)</x:v>
      </x:c>
      <x:c r="S28" s="4" t="n">
        <x:v>2</x:v>
      </x:c>
      <x:c r="T28" s="12" t="n">
        <x:v>46345</x:v>
      </x:c>
      <x:c r="U28" s="12" t="n">
        <x:v>46352</x:v>
      </x:c>
      <x:c r="V28" s="4" t="str">
        <x:v>Research ready — reverify before send</x:v>
      </x:c>
      <x:c r="W28" s="4" t="str">
        <x:v>Stacey Glaser is listed on marketing and culture team; general corporate routing preferred.</x:v>
      </x:c>
      <x:c r="X28" s="4" t="str">
        <x:v>Small approved pilot at Purgatory or Sipapu could expand across a portfolio.</x:v>
      </x:c>
      <x:c r="Y28" s="4" t="n">
        <x:v>3</x:v>
      </x:c>
      <x:c r="Z28" s="4" t="n">
        <x:v>4</x:v>
      </x:c>
      <x:c r="AA28" s="4" t="n">
        <x:v>3</x:v>
      </x:c>
      <x:c r="AB28" s="4" t="n">
        <x:v>3</x:v>
      </x:c>
      <x:c r="AC28" s="4" t="n">
        <x:v>3</x:v>
      </x:c>
      <x:c r="AD28" s="4" t="n">
        <x:f>Y28*Z28*AA28*AB28*AC28</x:f>
        <x:v>324</x:v>
      </x:c>
      <x:c r="AE28" s="4" t="str">
        <x:v>N/A</x:v>
      </x:c>
      <x:c r="AF28" s="4" t="str">
        <x:v>N/A</x:v>
      </x:c>
      <x:c r="AG28" s="4" t="str">
        <x:v>https://www.mcp.ski/contact</x:v>
      </x:c>
      <x:c r="AH28" s="4" t="str">
        <x:v>https://www.mcp.ski/people</x:v>
      </x:c>
      <x:c r="AI28" s="12" t="n">
        <x:v>46274</x:v>
      </x:c>
      <x:c r="AJ28" s="4" t="str">
        <x:v>Public first-party business route researched; no delivery test or buyer authority confirmed</x:v>
      </x:c>
      <x:c r="AK28" s="4" t="str">
        <x:v>PeakCam × Mountain Capital Partners: small ski-season pilot</x:v>
      </x:c>
      <x:c r="AL28" s="4" t="str">
        <x:v>Hi Mountain Capital Partners team,
I’m Jared, the founder of PeakCam (peakcam.io), a small mountain-camera finder currently starting with three Colorado resorts. Small approved pilot at Purgatory or Sipapu could expand across a portfolio.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29" ht="58" customHeight="1">
      <x:c r="A29" s="4" t="str">
        <x:v>PC-028</x:v>
      </x:c>
      <x:c r="B29" s="4" t="str">
        <x:v>P3 — later / discovery</x:v>
      </x:c>
      <x:c r="C29" s="4" t="str">
        <x:v>Pacific Group Resorts</x:v>
      </x:c>
      <x:c r="D29" s="4" t="str">
        <x:v>Resort operator</x:v>
      </x:c>
      <x:c r="E29" s="4" t="str">
        <x:v>Park City, Utah</x:v>
      </x:c>
      <x:c r="F29" s="4" t="str">
        <x:v>https://www.pgri.us</x:v>
      </x:c>
      <x:c r="G29" s="4" t="str">
        <x:v>N/A</x:v>
      </x:c>
      <x:c r="H29" s="4" t="str">
        <x:v>N/A</x:v>
      </x:c>
      <x:c r="I29" s="4" t="str">
        <x:v>Marketing / partnerships (routing request)</x:v>
      </x:c>
      <x:c r="J29" s="4" t="str">
        <x:v>N/A</x:v>
      </x:c>
      <x:c r="K29" s="4" t="str">
        <x:v>N/A</x:v>
      </x:c>
      <x:c r="L29" s="4" t="str">
        <x:v>435-241-7000</x:v>
      </x:c>
      <x:c r="M29" s="4" t="str">
        <x:v>https://www.pgri.us/contact/</x:v>
      </x:c>
      <x:c r="N29" s="4" t="str">
        <x:v>N/A</x:v>
      </x:c>
      <x:c r="O29" s="4" t="str">
        <x:v>An attributed, link-first Colorado camera discovery pilot; embeds only with written permission</x:v>
      </x:c>
      <x:c r="P29" s="4" t="str">
        <x:v>Free permission/referral pilot first; possible measured sponsorship later</x:v>
      </x:c>
      <x:c r="Q29" s="4" t="str">
        <x:v>$0 pilot; optional $100–300/month only after audience proof</x:v>
      </x:c>
      <x:c r="R29" s="4" t="str">
        <x:v>10–25% (subjective)</x:v>
      </x:c>
      <x:c r="S29" s="4" t="n">
        <x:v>2</x:v>
      </x:c>
      <x:c r="T29" s="12" t="n">
        <x:v>46357</x:v>
      </x:c>
      <x:c r="U29" s="12" t="n">
        <x:v>46364</x:v>
      </x:c>
      <x:c r="V29" s="4" t="str">
        <x:v>Research ready — reverify before send</x:v>
      </x:c>
      <x:c r="W29" s="4" t="str">
        <x:v>N/A</x:v>
      </x:c>
      <x:c r="X29" s="4" t="str">
        <x:v>Powderhorn/Jay Peak permission coordination; broader rollout only after one successful resort pilot.</x:v>
      </x:c>
      <x:c r="Y29" s="4" t="n">
        <x:v>2</x:v>
      </x:c>
      <x:c r="Z29" s="4" t="n">
        <x:v>3</x:v>
      </x:c>
      <x:c r="AA29" s="4" t="n">
        <x:v>3</x:v>
      </x:c>
      <x:c r="AB29" s="4" t="n">
        <x:v>3</x:v>
      </x:c>
      <x:c r="AC29" s="4" t="n">
        <x:v>2</x:v>
      </x:c>
      <x:c r="AD29" s="4" t="n">
        <x:f>Y29*Z29*AA29*AB29*AC29</x:f>
        <x:v>108</x:v>
      </x:c>
      <x:c r="AE29" s="4" t="str">
        <x:v>N/A</x:v>
      </x:c>
      <x:c r="AF29" s="4" t="str">
        <x:v>N/A</x:v>
      </x:c>
      <x:c r="AG29" s="4" t="str">
        <x:v>https://www.pgri.us/contact/</x:v>
      </x:c>
      <x:c r="AH29" s="4" t="str">
        <x:v>N/A</x:v>
      </x:c>
      <x:c r="AI29" s="12" t="n">
        <x:v>46274</x:v>
      </x:c>
      <x:c r="AJ29" s="4" t="str">
        <x:v>Public first-party business route researched; no delivery test or buyer authority confirmed</x:v>
      </x:c>
      <x:c r="AK29" s="4" t="str">
        <x:v>PeakCam × Pacific Group Resorts: small ski-season pilot</x:v>
      </x:c>
      <x:c r="AL29" s="4" t="str">
        <x:v>Hi Pacific Group Resorts team,
I’m Jared, the founder of PeakCam (peakcam.io), a small mountain-camera finder currently starting with three Colorado resorts. Powderhorn/Jay Peak permission coordination; broader rollout only after one successful resort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0" ht="58" customHeight="1">
      <x:c r="A30" s="4" t="str">
        <x:v>PC-029</x:v>
      </x:c>
      <x:c r="B30" s="4" t="str">
        <x:v>P3 — later / discovery</x:v>
      </x:c>
      <x:c r="C30" s="4" t="str">
        <x:v>Aspen Skiing Company / Aspen Snowmass</x:v>
      </x:c>
      <x:c r="D30" s="4" t="str">
        <x:v>Resort operator</x:v>
      </x:c>
      <x:c r="E30" s="4" t="str">
        <x:v>Snowmass Village, Colorado</x:v>
      </x:c>
      <x:c r="F30" s="4" t="str">
        <x:v>https://www.aspensnowmass.com</x:v>
      </x:c>
      <x:c r="G30" s="4" t="str">
        <x:v>N/A</x:v>
      </x:c>
      <x:c r="H30" s="4" t="str">
        <x:v>N/A</x:v>
      </x:c>
      <x:c r="I30" s="4" t="str">
        <x:v>Marketing / partnerships (routing request)</x:v>
      </x:c>
      <x:c r="J30" s="4" t="str">
        <x:v>contactus@aspensnowmass.com</x:v>
      </x:c>
      <x:c r="K30" s="4" t="str">
        <x:v>N/A</x:v>
      </x:c>
      <x:c r="L30" s="4" t="str">
        <x:v>800-525-6200</x:v>
      </x:c>
      <x:c r="M30" s="4" t="str">
        <x:v>https://www.aspensnowmass.com/discover/guest-services</x:v>
      </x:c>
      <x:c r="N30" s="4" t="str">
        <x:v>N/A</x:v>
      </x:c>
      <x:c r="O30" s="4" t="str">
        <x:v>An attributed, link-first Colorado camera discovery pilot; embeds only with written permission</x:v>
      </x:c>
      <x:c r="P30" s="4" t="str">
        <x:v>Free permission/referral pilot first; possible measured sponsorship later</x:v>
      </x:c>
      <x:c r="Q30" s="4" t="str">
        <x:v>$0 pilot; optional $100–300/month only after audience proof</x:v>
      </x:c>
      <x:c r="R30" s="4" t="str">
        <x:v>10–25% (subjective)</x:v>
      </x:c>
      <x:c r="S30" s="4" t="n">
        <x:v>2</x:v>
      </x:c>
      <x:c r="T30" s="12" t="n">
        <x:v>46357</x:v>
      </x:c>
      <x:c r="U30" s="12" t="n">
        <x:v>46364</x:v>
      </x:c>
      <x:c r="V30" s="4" t="str">
        <x:v>Research ready — reverify before send</x:v>
      </x:c>
      <x:c r="W30" s="4" t="str">
        <x:v>Public guest-services channel is a routing request, not a verified buyer.</x:v>
      </x:c>
      <x:c r="X30" s="4" t="str">
        <x:v>Clarify resort camera rights and route to digital marketing; lodging referrals later.</x:v>
      </x:c>
      <x:c r="Y30" s="4" t="n">
        <x:v>2</x:v>
      </x:c>
      <x:c r="Z30" s="4" t="n">
        <x:v>3</x:v>
      </x:c>
      <x:c r="AA30" s="4" t="n">
        <x:v>3</x:v>
      </x:c>
      <x:c r="AB30" s="4" t="n">
        <x:v>3</x:v>
      </x:c>
      <x:c r="AC30" s="4" t="n">
        <x:v>2</x:v>
      </x:c>
      <x:c r="AD30" s="4" t="n">
        <x:f>Y30*Z30*AA30*AB30*AC30</x:f>
        <x:v>108</x:v>
      </x:c>
      <x:c r="AE30" s="4" t="str">
        <x:v>N/A</x:v>
      </x:c>
      <x:c r="AF30" s="4" t="str">
        <x:v>N/A</x:v>
      </x:c>
      <x:c r="AG30" s="4" t="str">
        <x:v>https://www.aspensnowmass.com/discover/guest-services</x:v>
      </x:c>
      <x:c r="AH30" s="4" t="str">
        <x:v>N/A</x:v>
      </x:c>
      <x:c r="AI30" s="12" t="n">
        <x:v>46274</x:v>
      </x:c>
      <x:c r="AJ30" s="4" t="str">
        <x:v>Public first-party business route researched; no delivery test or buyer authority confirmed</x:v>
      </x:c>
      <x:c r="AK30" s="4" t="str">
        <x:v>PeakCam × Aspen Skiing Company / Aspen Snowmass: small ski-season pilot</x:v>
      </x:c>
      <x:c r="AL30" s="4" t="str">
        <x:v>Hi Aspen Skiing Company / Aspen Snowmass team,
I’m Jared, the founder of PeakCam (peakcam.io), a small mountain-camera finder currently starting with three Colorado resorts. Clarify resort camera rights and route to digital marketing; lodging referrals later.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1" ht="58" customHeight="1">
      <x:c r="A31" s="4" t="str">
        <x:v>PC-030</x:v>
      </x:c>
      <x:c r="B31" s="4" t="str">
        <x:v>P1 — First 25</x:v>
      </x:c>
      <x:c r="C31" s="4" t="str">
        <x:v>Roundshot / Seitz Phototechnik AG</x:v>
      </x:c>
      <x:c r="D31" s="4" t="str">
        <x:v>Webcam provider</x:v>
      </x:c>
      <x:c r="E31" s="4" t="str">
        <x:v>Lustdorf, Switzerland</x:v>
      </x:c>
      <x:c r="F31" s="4" t="str">
        <x:v>https://www.roundshot.com</x:v>
      </x:c>
      <x:c r="G31" s="4" t="str">
        <x:v>N/A</x:v>
      </x:c>
      <x:c r="H31" s="4" t="str">
        <x:v>N/A</x:v>
      </x:c>
      <x:c r="I31" s="4" t="str">
        <x:v>Sharing partner / livecam business team</x:v>
      </x:c>
      <x:c r="J31" s="4" t="str">
        <x:v>info@roundshot.com</x:v>
      </x:c>
      <x:c r="K31" s="4" t="str">
        <x:v>N/A</x:v>
      </x:c>
      <x:c r="L31" s="4" t="str">
        <x:v>+41 52 369 68 00</x:v>
      </x:c>
      <x:c r="M31" s="4" t="str">
        <x:v>https://www.roundshot.com/en/messages.html/21/news/946</x:v>
      </x:c>
      <x:c r="N31" s="4" t="str">
        <x:v>N/A</x:v>
      </x:c>
      <x:c r="O31" s="4" t="str">
        <x:v>A 5–10 camera, owner-consented commercial distribution pilot with attribution and no stream proxy</x:v>
      </x:c>
      <x:c r="P31" s="4" t="str">
        <x:v>License / distribution / traffic exchange; vendor cost not assumed revenue</x:v>
      </x:c>
      <x:c r="Q31" s="4" t="str">
        <x:v>$0–500/month pilot cost ceiling, quote required; revenue not assumed</x:v>
      </x:c>
      <x:c r="R31" s="4" t="str">
        <x:v>15–35% (subjective)</x:v>
      </x:c>
      <x:c r="S31" s="4" t="n">
        <x:v>3</x:v>
      </x:c>
      <x:c r="T31" s="12" t="n">
        <x:v>46282</x:v>
      </x:c>
      <x:c r="U31" s="12" t="n">
        <x:v>46289</x:v>
      </x:c>
      <x:c r="V31" s="4" t="str">
        <x:v>Research ready — reverify before send</x:v>
      </x:c>
      <x:c r="W31" s="4" t="str">
        <x:v>Provider approval does not establish resort-owner copyright rights. Request owner-consented cameras and written permitted-use scope.</x:v>
      </x:c>
      <x:c r="X31" s="4" t="str">
        <x:v>June 2026 sharing-partner announcement is a direct upstream distribution opening; propose a US ski pilot.</x:v>
      </x:c>
      <x:c r="Y31" s="4" t="n">
        <x:v>4</x:v>
      </x:c>
      <x:c r="Z31" s="4" t="n">
        <x:v>5</x:v>
      </x:c>
      <x:c r="AA31" s="4" t="n">
        <x:v>2</x:v>
      </x:c>
      <x:c r="AB31" s="4" t="n">
        <x:v>3</x:v>
      </x:c>
      <x:c r="AC31" s="4" t="n">
        <x:v>4</x:v>
      </x:c>
      <x:c r="AD31" s="4" t="n">
        <x:f>Y31*Z31*AA31*AB31*AC31</x:f>
        <x:v>480</x:v>
      </x:c>
      <x:c r="AE31" s="4" t="n">
        <x:v>8</x:v>
      </x:c>
      <x:c r="AF31" s="4" t="str">
        <x:v>N/A</x:v>
      </x:c>
      <x:c r="AG31" s="4" t="str">
        <x:v>https://www.roundshot.com/en/messages.html/21/news/946</x:v>
      </x:c>
      <x:c r="AH31" s="4" t="str">
        <x:v>https://www.roundshot.com/en</x:v>
      </x:c>
      <x:c r="AI31" s="12" t="n">
        <x:v>46274</x:v>
      </x:c>
      <x:c r="AJ31" s="4" t="str">
        <x:v>Public first-party business route researched; no delivery test or buyer authority confirmed</x:v>
      </x:c>
      <x:c r="AK31" s="4" t="str">
        <x:v>US ski-camera pilot for Roundshot sharing partners</x:v>
      </x:c>
      <x:c r="AL31" s="4" t="str">
        <x:v>Hi Roundshot / Seitz Phototechnik AG team,
I’m Jared, founder of PeakCam (peakcam.io), a small Colorado-focused mountain-camera finder. June 2026 sharing-partner announcement is a direct upstream distribution opening; propose a US ski pilot.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32" ht="58" customHeight="1">
      <x:c r="A32" s="4" t="str">
        <x:v>PC-031</x:v>
      </x:c>
      <x:c r="B32" s="4" t="str">
        <x:v>P1 — First 25</x:v>
      </x:c>
      <x:c r="C32" s="4" t="str">
        <x:v>HDOnTap</x:v>
      </x:c>
      <x:c r="D32" s="4" t="str">
        <x:v>Webcam provider</x:v>
      </x:c>
      <x:c r="E32" s="4" t="str">
        <x:v>Del Mar, California</x:v>
      </x:c>
      <x:c r="F32" s="4" t="str">
        <x:v>https://hdontap.com</x:v>
      </x:c>
      <x:c r="G32" s="4" t="str">
        <x:v>N/A</x:v>
      </x:c>
      <x:c r="H32" s="4" t="str">
        <x:v>N/A</x:v>
      </x:c>
      <x:c r="I32" s="4" t="str">
        <x:v>Streaming sales / partnerships</x:v>
      </x:c>
      <x:c r="J32" s="4" t="str">
        <x:v>sales@hdontap.com</x:v>
      </x:c>
      <x:c r="K32" s="4" t="str">
        <x:v>sales@hdontap.com</x:v>
      </x:c>
      <x:c r="L32" s="4" t="str">
        <x:v>858-481-4096</x:v>
      </x:c>
      <x:c r="M32" s="4" t="str">
        <x:v>https://sales.hdontap.com/contact-us/</x:v>
      </x:c>
      <x:c r="N32" s="4" t="str">
        <x:v>N/A</x:v>
      </x:c>
      <x:c r="O32" s="4" t="str">
        <x:v>A 5–10 camera, owner-consented commercial distribution pilot with attribution and no stream proxy</x:v>
      </x:c>
      <x:c r="P32" s="4" t="str">
        <x:v>License / distribution / traffic exchange; vendor cost not assumed revenue</x:v>
      </x:c>
      <x:c r="Q32" s="4" t="str">
        <x:v>$0–500/month pilot cost ceiling, quote required; revenue not assumed</x:v>
      </x:c>
      <x:c r="R32" s="4" t="str">
        <x:v>15–35% (subjective)</x:v>
      </x:c>
      <x:c r="S32" s="4" t="n">
        <x:v>3</x:v>
      </x:c>
      <x:c r="T32" s="12" t="n">
        <x:v>46282</x:v>
      </x:c>
      <x:c r="U32" s="12" t="n">
        <x:v>46289</x:v>
      </x:c>
      <x:c r="V32" s="4" t="str">
        <x:v>Research ready — reverify before send</x:v>
      </x:c>
      <x:c r="W32" s="4" t="str">
        <x:v>No public blanket commercial redistribution license verified; obtain a quote and camera-owner consent.</x:v>
      </x:c>
      <x:c r="X32" s="4" t="str">
        <x:v>Ask about approved resort-player distribution and referral reporting on a small camera subset.</x:v>
      </x:c>
      <x:c r="Y32" s="4" t="n">
        <x:v>4</x:v>
      </x:c>
      <x:c r="Z32" s="4" t="n">
        <x:v>5</x:v>
      </x:c>
      <x:c r="AA32" s="4" t="n">
        <x:v>2</x:v>
      </x:c>
      <x:c r="AB32" s="4" t="n">
        <x:v>3</x:v>
      </x:c>
      <x:c r="AC32" s="4" t="n">
        <x:v>4</x:v>
      </x:c>
      <x:c r="AD32" s="4" t="n">
        <x:f>Y32*Z32*AA32*AB32*AC32</x:f>
        <x:v>480</x:v>
      </x:c>
      <x:c r="AE32" s="4" t="n">
        <x:v>9</x:v>
      </x:c>
      <x:c r="AF32" s="4" t="str">
        <x:v>N/A</x:v>
      </x:c>
      <x:c r="AG32" s="4" t="str">
        <x:v>https://sales.hdontap.com/contact-us/</x:v>
      </x:c>
      <x:c r="AH32" s="4" t="str">
        <x:v>https://sales.hdontap.com/streaming-faqs/</x:v>
      </x:c>
      <x:c r="AI32" s="12" t="n">
        <x:v>46274</x:v>
      </x:c>
      <x:c r="AJ32" s="4" t="str">
        <x:v>Public first-party business route researched; no delivery test or buyer authority confirmed</x:v>
      </x:c>
      <x:c r="AK32" s="4" t="str">
        <x:v>PeakCam × HDOnTap: small ski-season pilot</x:v>
      </x:c>
      <x:c r="AL32" s="4" t="str">
        <x:v>Hi HDOnTap team,
I’m Jared, founder of PeakCam (peakcam.io), a small Colorado-focused mountain-camera finder. Ask about approved resort-player distribution and referral reporting on a small camera subset.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33" ht="58" customHeight="1">
      <x:c r="A33" s="4" t="str">
        <x:v>PC-032</x:v>
      </x:c>
      <x:c r="B33" s="4" t="str">
        <x:v>P1 — First 25</x:v>
      </x:c>
      <x:c r="C33" s="4" t="str">
        <x:v>Panomax GmbH</x:v>
      </x:c>
      <x:c r="D33" s="4" t="str">
        <x:v>Webcam provider</x:v>
      </x:c>
      <x:c r="E33" s="4" t="str">
        <x:v>Henndorf, Austria</x:v>
      </x:c>
      <x:c r="F33" s="4" t="str">
        <x:v>https://www.panomax.com</x:v>
      </x:c>
      <x:c r="G33" s="4" t="str">
        <x:v>N/A</x:v>
      </x:c>
      <x:c r="H33" s="4" t="str">
        <x:v>N/A</x:v>
      </x:c>
      <x:c r="I33" s="4" t="str">
        <x:v>Partner program / sales</x:v>
      </x:c>
      <x:c r="J33" s="4" t="str">
        <x:v>office@panomax.com</x:v>
      </x:c>
      <x:c r="K33" s="4" t="str">
        <x:v>N/A</x:v>
      </x:c>
      <x:c r="L33" s="4" t="str">
        <x:v>+43 6214 20601</x:v>
      </x:c>
      <x:c r="M33" s="4" t="str">
        <x:v>https://www.panomax.com/en</x:v>
      </x:c>
      <x:c r="N33" s="4" t="str">
        <x:v>N/A</x:v>
      </x:c>
      <x:c r="O33" s="4" t="str">
        <x:v>A 5–10 camera, owner-consented commercial distribution pilot with attribution and no stream proxy</x:v>
      </x:c>
      <x:c r="P33" s="4" t="str">
        <x:v>License / distribution / traffic exchange; vendor cost not assumed revenue</x:v>
      </x:c>
      <x:c r="Q33" s="4" t="str">
        <x:v>$0–500/month pilot cost ceiling, quote required; revenue not assumed</x:v>
      </x:c>
      <x:c r="R33" s="4" t="str">
        <x:v>15–35% (subjective)</x:v>
      </x:c>
      <x:c r="S33" s="4" t="n">
        <x:v>3</x:v>
      </x:c>
      <x:c r="T33" s="12" t="n">
        <x:v>46282</x:v>
      </x:c>
      <x:c r="U33" s="12" t="n">
        <x:v>46289</x:v>
      </x:c>
      <x:c r="V33" s="4" t="str">
        <x:v>Research ready — reverify before send</x:v>
      </x:c>
      <x:c r="W33" s="4" t="str">
        <x:v>Own discovery app may compete with PeakCam. Quote required; ask explicitly about thumbnails and commercial embeds.</x:v>
      </x:c>
      <x:c r="X33" s="4" t="str">
        <x:v>Panoramic tourism camera distribution and partner program; test approved US ski placements.</x:v>
      </x:c>
      <x:c r="Y33" s="4" t="n">
        <x:v>4</x:v>
      </x:c>
      <x:c r="Z33" s="4" t="n">
        <x:v>5</x:v>
      </x:c>
      <x:c r="AA33" s="4" t="n">
        <x:v>2</x:v>
      </x:c>
      <x:c r="AB33" s="4" t="n">
        <x:v>3</x:v>
      </x:c>
      <x:c r="AC33" s="4" t="n">
        <x:v>4</x:v>
      </x:c>
      <x:c r="AD33" s="4" t="n">
        <x:f>Y33*Z33*AA33*AB33*AC33</x:f>
        <x:v>480</x:v>
      </x:c>
      <x:c r="AE33" s="4" t="n">
        <x:v>10</x:v>
      </x:c>
      <x:c r="AF33" s="4" t="str">
        <x:v>N/A</x:v>
      </x:c>
      <x:c r="AG33" s="4" t="str">
        <x:v>https://www.panomax.com/en</x:v>
      </x:c>
      <x:c r="AH33" s="4" t="str">
        <x:v>N/A</x:v>
      </x:c>
      <x:c r="AI33" s="12" t="n">
        <x:v>46274</x:v>
      </x:c>
      <x:c r="AJ33" s="4" t="str">
        <x:v>Public first-party business route researched; no delivery test or buyer authority confirmed</x:v>
      </x:c>
      <x:c r="AK33" s="4" t="str">
        <x:v>PeakCam × Panomax GmbH: small ski-season pilot</x:v>
      </x:c>
      <x:c r="AL33" s="4" t="str">
        <x:v>Hi Panomax GmbH team,
I’m Jared, founder of PeakCam (peakcam.io), a small Colorado-focused mountain-camera finder. Panoramic tourism camera distribution and partner program; test approved US ski placements.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34" ht="58" customHeight="1">
      <x:c r="A34" s="4" t="str">
        <x:v>PC-033</x:v>
      </x:c>
      <x:c r="B34" s="4" t="str">
        <x:v>P2 — after core proof</x:v>
      </x:c>
      <x:c r="C34" s="4" t="str">
        <x:v>EarthCam</x:v>
      </x:c>
      <x:c r="D34" s="4" t="str">
        <x:v>Webcam provider</x:v>
      </x:c>
      <x:c r="E34" s="4" t="str">
        <x:v>Upper Saddle River, New Jersey</x:v>
      </x:c>
      <x:c r="F34" s="4" t="str">
        <x:v>https://www.earthcam.com</x:v>
      </x:c>
      <x:c r="G34" s="4" t="str">
        <x:v>N/A</x:v>
      </x:c>
      <x:c r="H34" s="4" t="str">
        <x:v>N/A</x:v>
      </x:c>
      <x:c r="I34" s="4" t="str">
        <x:v>Marketing / partnerships (routing request)</x:v>
      </x:c>
      <x:c r="J34" s="4" t="str">
        <x:v>N/A</x:v>
      </x:c>
      <x:c r="K34" s="4" t="str">
        <x:v>N/A</x:v>
      </x:c>
      <x:c r="L34" s="4" t="str">
        <x:v>201-488-1111</x:v>
      </x:c>
      <x:c r="M34" s="4" t="str">
        <x:v>https://www.earthcam.com/company/contact.php</x:v>
      </x:c>
      <x:c r="N34" s="4" t="str">
        <x:v>N/A</x:v>
      </x:c>
      <x:c r="O34" s="4" t="str">
        <x:v>A 5–10 camera, owner-consented commercial distribution pilot with attribution and no stream proxy</x:v>
      </x:c>
      <x:c r="P34" s="4" t="str">
        <x:v>License / distribution / traffic exchange; vendor cost not assumed revenue</x:v>
      </x:c>
      <x:c r="Q34" s="4" t="str">
        <x:v>$0–500/month pilot cost ceiling, quote required; revenue not assumed</x:v>
      </x:c>
      <x:c r="R34" s="4" t="str">
        <x:v>15–35% (subjective)</x:v>
      </x:c>
      <x:c r="S34" s="4" t="n">
        <x:v>3</x:v>
      </x:c>
      <x:c r="T34" s="12" t="n">
        <x:v>46352</x:v>
      </x:c>
      <x:c r="U34" s="12" t="n">
        <x:v>46359</x:v>
      </x:c>
      <x:c r="V34" s="4" t="str">
        <x:v>Research ready — reverify before send</x:v>
      </x:c>
      <x:c r="W34" s="4" t="str">
        <x:v>Published referral/reseller program relates to camera services; not proof of a travel-audience commission.</x:v>
      </x:c>
      <x:c r="X34" s="4" t="str">
        <x:v>Explore approved tourism camera distribution, not unauthorized rebroadcast.</x:v>
      </x:c>
      <x:c r="Y34" s="4" t="n">
        <x:v>3</x:v>
      </x:c>
      <x:c r="Z34" s="4" t="n">
        <x:v>4</x:v>
      </x:c>
      <x:c r="AA34" s="4" t="n">
        <x:v>2</x:v>
      </x:c>
      <x:c r="AB34" s="4" t="n">
        <x:v>3</x:v>
      </x:c>
      <x:c r="AC34" s="4" t="n">
        <x:v>3</x:v>
      </x:c>
      <x:c r="AD34" s="4" t="n">
        <x:f>Y34*Z34*AA34*AB34*AC34</x:f>
        <x:v>216</x:v>
      </x:c>
      <x:c r="AE34" s="4" t="str">
        <x:v>N/A</x:v>
      </x:c>
      <x:c r="AF34" s="4" t="str">
        <x:v>N/A</x:v>
      </x:c>
      <x:c r="AG34" s="4" t="str">
        <x:v>https://www.earthcam.com/company/contact.php</x:v>
      </x:c>
      <x:c r="AH34" s="4" t="str">
        <x:v>https://www.earthcam.net/referral/</x:v>
      </x:c>
      <x:c r="AI34" s="12" t="n">
        <x:v>46274</x:v>
      </x:c>
      <x:c r="AJ34" s="4" t="str">
        <x:v>Public first-party business route researched; no delivery test or buyer authority confirmed</x:v>
      </x:c>
      <x:c r="AK34" s="4" t="str">
        <x:v>PeakCam × EarthCam: small ski-season pilot</x:v>
      </x:c>
      <x:c r="AL34" s="4" t="str">
        <x:v>Hi EarthCam team,
I’m Jared, founder of PeakCam (peakcam.io), a small Colorado-focused mountain-camera finder. Explore approved tourism camera distribution, not unauthorized rebroadcast.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35" ht="58" customHeight="1">
      <x:c r="A35" s="4" t="str">
        <x:v>PC-034</x:v>
      </x:c>
      <x:c r="B35" s="4" t="str">
        <x:v>P1 — First 25</x:v>
      </x:c>
      <x:c r="C35" s="4" t="str">
        <x:v>Ski.com</x:v>
      </x:c>
      <x:c r="D35" s="4" t="str">
        <x:v>Lodging / travel affiliate</x:v>
      </x:c>
      <x:c r="E35" s="4" t="str">
        <x:v>Aspen, Colorado</x:v>
      </x:c>
      <x:c r="F35" s="4" t="str">
        <x:v>https://www.ski.com</x:v>
      </x:c>
      <x:c r="G35" s="4" t="str">
        <x:v>N/A</x:v>
      </x:c>
      <x:c r="H35" s="4" t="str">
        <x:v>N/A</x:v>
      </x:c>
      <x:c r="I35" s="4" t="str">
        <x:v>Affiliate team</x:v>
      </x:c>
      <x:c r="J35" s="4" t="str">
        <x:v>affiliates@ski.com</x:v>
      </x:c>
      <x:c r="K35" s="4" t="str">
        <x:v>affiliates@ski.com</x:v>
      </x:c>
      <x:c r="L35" s="4" t="str">
        <x:v>800-908-5000</x:v>
      </x:c>
      <x:c r="M35" s="4" t="str">
        <x:v>https://www.ski.com/affiliates</x:v>
      </x:c>
      <x:c r="N35" s="4" t="str">
        <x:v>N/A</x:v>
      </x:c>
      <x:c r="O35" s="4" t="str">
        <x:v>An approved, clearly disclosed resort-context referral link with merchant sub-ID tracking</x:v>
      </x:c>
      <x:c r="P35" s="4" t="str">
        <x:v>Net approved affiliate/referral commissions</x:v>
      </x:c>
      <x:c r="Q35" s="4" t="str">
        <x:v>$0 minimum; $0–300/month early planning range, traffic dependent</x:v>
      </x:c>
      <x:c r="R35" s="4" t="str">
        <x:v>10–25% (subjective)</x:v>
      </x:c>
      <x:c r="S35" s="4" t="n">
        <x:v>2</x:v>
      </x:c>
      <x:c r="T35" s="12" t="n">
        <x:v>46296</x:v>
      </x:c>
      <x:c r="U35" s="12" t="n">
        <x:v>46303</x:v>
      </x:c>
      <x:c r="V35" s="4" t="str">
        <x:v>Research ready — reverify before send</x:v>
      </x:c>
      <x:c r="W35" s="4" t="str">
        <x:v>Commission and cookie window not publicly specified; forecast no revenue until accepted.</x:v>
      </x:c>
      <x:c r="X35" s="4" t="str">
        <x:v>Explicit publisher affiliate program includes ski vacation packages; ask for approval and deep-link terms.</x:v>
      </x:c>
      <x:c r="Y35" s="4" t="n">
        <x:v>4</x:v>
      </x:c>
      <x:c r="Z35" s="4" t="n">
        <x:v>5</x:v>
      </x:c>
      <x:c r="AA35" s="4" t="n">
        <x:v>3</x:v>
      </x:c>
      <x:c r="AB35" s="4" t="n">
        <x:v>4</x:v>
      </x:c>
      <x:c r="AC35" s="4" t="n">
        <x:v>4</x:v>
      </x:c>
      <x:c r="AD35" s="4" t="n">
        <x:f>Y35*Z35*AA35*AB35*AC35</x:f>
        <x:v>960</x:v>
      </x:c>
      <x:c r="AE35" s="4" t="n">
        <x:v>18</x:v>
      </x:c>
      <x:c r="AF35" s="4" t="str">
        <x:v>N/A</x:v>
      </x:c>
      <x:c r="AG35" s="4" t="str">
        <x:v>https://www.ski.com/affiliates</x:v>
      </x:c>
      <x:c r="AH35" s="4" t="str">
        <x:v>N/A</x:v>
      </x:c>
      <x:c r="AI35" s="12" t="n">
        <x:v>46274</x:v>
      </x:c>
      <x:c r="AJ35" s="4" t="str">
        <x:v>Public first-party business route researched; no delivery test or buyer authority confirmed</x:v>
      </x:c>
      <x:c r="AK35" s="4" t="str">
        <x:v>Publisher application: Colorado camera-to-trip referrals</x:v>
      </x:c>
      <x:c r="AL35" s="4" t="str">
        <x:v>Hi Ski.com team,
I’m Jared, the founder of PeakCam (peakcam.io), a small mountain-camera finder currently starting with three Colorado resorts. Explicit publisher affiliate program includes ski vacation packages; ask for approval and deep-link terms.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6" ht="58" customHeight="1">
      <x:c r="A36" s="4" t="str">
        <x:v>PC-035</x:v>
      </x:c>
      <x:c r="B36" s="4" t="str">
        <x:v>P1 — First 25</x:v>
      </x:c>
      <x:c r="C36" s="4" t="str">
        <x:v>evo</x:v>
      </x:c>
      <x:c r="D36" s="4" t="str">
        <x:v>Gear / rental affiliate</x:v>
      </x:c>
      <x:c r="E36" s="4" t="str">
        <x:v>Seattle, Washington</x:v>
      </x:c>
      <x:c r="F36" s="4" t="str">
        <x:v>https://www.evo.com</x:v>
      </x:c>
      <x:c r="G36" s="4" t="str">
        <x:v>N/A</x:v>
      </x:c>
      <x:c r="H36" s="4" t="str">
        <x:v>N/A</x:v>
      </x:c>
      <x:c r="I36" s="4" t="str">
        <x:v>AvantLink affiliate program</x:v>
      </x:c>
      <x:c r="J36" s="4" t="str">
        <x:v>N/A</x:v>
      </x:c>
      <x:c r="K36" s="4" t="str">
        <x:v>N/A</x:v>
      </x:c>
      <x:c r="L36" s="4" t="str">
        <x:v>N/A</x:v>
      </x:c>
      <x:c r="M36" s="4" t="str">
        <x:v>https://www.evo.com/pages/affiliate-program</x:v>
      </x:c>
      <x:c r="N36" s="4" t="str">
        <x:v>N/A</x:v>
      </x:c>
      <x:c r="O36" s="4" t="str">
        <x:v>An approved, clearly disclosed resort-context referral link with merchant sub-ID tracking</x:v>
      </x:c>
      <x:c r="P36" s="4" t="str">
        <x:v>Net approved affiliate/referral commissions</x:v>
      </x:c>
      <x:c r="Q36" s="4" t="str">
        <x:v>$0 minimum; $0–300/month early planning range, traffic dependent</x:v>
      </x:c>
      <x:c r="R36" s="4" t="str">
        <x:v>10–25% (subjective)</x:v>
      </x:c>
      <x:c r="S36" s="4" t="n">
        <x:v>2</x:v>
      </x:c>
      <x:c r="T36" s="12" t="n">
        <x:v>46296</x:v>
      </x:c>
      <x:c r="U36" s="12" t="n">
        <x:v>46303</x:v>
      </x:c>
      <x:c r="V36" s="4" t="str">
        <x:v>Research ready — reverify before send</x:v>
      </x:c>
      <x:c r="W36" s="4" t="str">
        <x:v>Approval required; confirm publisher-state eligibility and product exclusions. Do not rely on third-party historical state exclusions.</x:v>
      </x:c>
      <x:c r="X36" s="4" t="str">
        <x:v>Published 5% commission and 30-day cookie through AvantLink; relevant gear referral test.</x:v>
      </x:c>
      <x:c r="Y36" s="4" t="n">
        <x:v>3</x:v>
      </x:c>
      <x:c r="Z36" s="4" t="n">
        <x:v>5</x:v>
      </x:c>
      <x:c r="AA36" s="4" t="n">
        <x:v>3</x:v>
      </x:c>
      <x:c r="AB36" s="4" t="n">
        <x:v>4</x:v>
      </x:c>
      <x:c r="AC36" s="4" t="n">
        <x:v>4</x:v>
      </x:c>
      <x:c r="AD36" s="4" t="n">
        <x:f>Y36*Z36*AA36*AB36*AC36</x:f>
        <x:v>720</x:v>
      </x:c>
      <x:c r="AE36" s="4" t="n">
        <x:v>20</x:v>
      </x:c>
      <x:c r="AF36" s="4" t="str">
        <x:v>N/A</x:v>
      </x:c>
      <x:c r="AG36" s="4" t="str">
        <x:v>https://www.evo.com/pages/affiliate-program</x:v>
      </x:c>
      <x:c r="AH36" s="4" t="str">
        <x:v>N/A</x:v>
      </x:c>
      <x:c r="AI36" s="12" t="n">
        <x:v>46274</x:v>
      </x:c>
      <x:c r="AJ36" s="4" t="str">
        <x:v>Public first-party business route researched; no delivery test or buyer authority confirmed</x:v>
      </x:c>
      <x:c r="AK36" s="4" t="str">
        <x:v>PeakCam × evo: small ski-season pilot</x:v>
      </x:c>
      <x:c r="AL36" s="4" t="str">
        <x:v>Hi evo team,
I’m Jared, the founder of PeakCam (peakcam.io), a small mountain-camera finder currently starting with three Colorado resorts. Published 5% commission and 30-day cookie through AvantLink; relevant gear referral test.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7" ht="58" customHeight="1">
      <x:c r="A37" s="4" t="str">
        <x:v>PC-036</x:v>
      </x:c>
      <x:c r="B37" s="4" t="str">
        <x:v>P1 — First 25</x:v>
      </x:c>
      <x:c r="C37" s="4" t="str">
        <x:v>Ski Butlers</x:v>
      </x:c>
      <x:c r="D37" s="4" t="str">
        <x:v>Ski rentals</x:v>
      </x:c>
      <x:c r="E37" s="4" t="str">
        <x:v>Park City, Utah</x:v>
      </x:c>
      <x:c r="F37" s="4" t="str">
        <x:v>https://www.skibutlers.com</x:v>
      </x:c>
      <x:c r="G37" s="4" t="str">
        <x:v>N/A</x:v>
      </x:c>
      <x:c r="H37" s="4" t="str">
        <x:v>N/A</x:v>
      </x:c>
      <x:c r="I37" s="4" t="str">
        <x:v>Marketing / partnerships (routing request)</x:v>
      </x:c>
      <x:c r="J37" s="4" t="str">
        <x:v>info@skibutlers.com</x:v>
      </x:c>
      <x:c r="K37" s="4" t="str">
        <x:v>N/A</x:v>
      </x:c>
      <x:c r="L37" s="4" t="str">
        <x:v>877-754-7754</x:v>
      </x:c>
      <x:c r="M37" s="4" t="str">
        <x:v>https://www.skibutlers.com/contact</x:v>
      </x:c>
      <x:c r="N37" s="4" t="str">
        <x:v>N/A</x:v>
      </x:c>
      <x:c r="O37" s="4" t="str">
        <x:v>An approved, clearly disclosed resort-context referral link with merchant sub-ID tracking</x:v>
      </x:c>
      <x:c r="P37" s="4" t="str">
        <x:v>Net approved affiliate/referral commissions</x:v>
      </x:c>
      <x:c r="Q37" s="4" t="str">
        <x:v>$0 minimum; $0–300/month early planning range, traffic dependent</x:v>
      </x:c>
      <x:c r="R37" s="4" t="str">
        <x:v>10–25% (subjective)</x:v>
      </x:c>
      <x:c r="S37" s="4" t="n">
        <x:v>2</x:v>
      </x:c>
      <x:c r="T37" s="12" t="n">
        <x:v>46296</x:v>
      </x:c>
      <x:c r="U37" s="12" t="n">
        <x:v>46303</x:v>
      </x:c>
      <x:c r="V37" s="4" t="str">
        <x:v>Research ready — reverify before send</x:v>
      </x:c>
      <x:c r="W37" s="4" t="str">
        <x:v>Stephanie@skibutlers.com is published for groups over 10/corporate bookings, not general affiliate buying.</x:v>
      </x:c>
      <x:c r="X37" s="4" t="str">
        <x:v>Destination rental delivery matches ski-trip visitors; ask for referral terms, not assumed affiliate access.</x:v>
      </x:c>
      <x:c r="Y37" s="4" t="n">
        <x:v>4</x:v>
      </x:c>
      <x:c r="Z37" s="4" t="n">
        <x:v>5</x:v>
      </x:c>
      <x:c r="AA37" s="4" t="n">
        <x:v>3</x:v>
      </x:c>
      <x:c r="AB37" s="4" t="n">
        <x:v>4</x:v>
      </x:c>
      <x:c r="AC37" s="4" t="n">
        <x:v>4</x:v>
      </x:c>
      <x:c r="AD37" s="4" t="n">
        <x:f>Y37*Z37*AA37*AB37*AC37</x:f>
        <x:v>960</x:v>
      </x:c>
      <x:c r="AE37" s="4" t="n">
        <x:v>16</x:v>
      </x:c>
      <x:c r="AF37" s="4" t="str">
        <x:v>N/A</x:v>
      </x:c>
      <x:c r="AG37" s="4" t="str">
        <x:v>https://www.skibutlers.com/contact</x:v>
      </x:c>
      <x:c r="AH37" s="4" t="str">
        <x:v>N/A</x:v>
      </x:c>
      <x:c r="AI37" s="12" t="n">
        <x:v>46274</x:v>
      </x:c>
      <x:c r="AJ37" s="4" t="str">
        <x:v>Public first-party business route researched; no delivery test or buyer authority confirmed</x:v>
      </x:c>
      <x:c r="AK37" s="4" t="str">
        <x:v>PeakCam × Ski Butlers: small ski-season pilot</x:v>
      </x:c>
      <x:c r="AL37" s="4" t="str">
        <x:v>Hi Ski Butlers team,
I’m Jared, the founder of PeakCam (peakcam.io), a small mountain-camera finder currently starting with three Colorado resorts. Destination rental delivery matches ski-trip visitors; ask for referral terms, not assumed affiliate access.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8" ht="58" customHeight="1">
      <x:c r="A38" s="4" t="str">
        <x:v>PC-037</x:v>
      </x:c>
      <x:c r="B38" s="4" t="str">
        <x:v>P2 — after core proof</x:v>
      </x:c>
      <x:c r="C38" s="4" t="str">
        <x:v>Christy Sports</x:v>
      </x:c>
      <x:c r="D38" s="4" t="str">
        <x:v>Gear / rental retailer</x:v>
      </x:c>
      <x:c r="E38" s="4" t="str">
        <x:v>Lakewood, Colorado</x:v>
      </x:c>
      <x:c r="F38" s="4" t="str">
        <x:v>https://www.christysports.com</x:v>
      </x:c>
      <x:c r="G38" s="4" t="str">
        <x:v>N/A</x:v>
      </x:c>
      <x:c r="H38" s="4" t="str">
        <x:v>N/A</x:v>
      </x:c>
      <x:c r="I38" s="4" t="str">
        <x:v>Marketing / partnerships (routing request)</x:v>
      </x:c>
      <x:c r="J38" s="4" t="str">
        <x:v>help@christysports.com</x:v>
      </x:c>
      <x:c r="K38" s="4" t="str">
        <x:v>N/A</x:v>
      </x:c>
      <x:c r="L38" s="4" t="str">
        <x:v>888-413-6966</x:v>
      </x:c>
      <x:c r="M38" s="4" t="str">
        <x:v>https://www.christysports.com/on/demandware.store/Sites-ChristySports_US-Site/en_US/ContactUs-Landing</x:v>
      </x:c>
      <x:c r="N38" s="4" t="str">
        <x:v>N/A</x:v>
      </x:c>
      <x:c r="O38" s="4" t="str">
        <x:v>An approved, clearly disclosed resort-context referral link with merchant sub-ID tracking</x:v>
      </x:c>
      <x:c r="P38" s="4" t="str">
        <x:v>Net approved affiliate/referral commissions</x:v>
      </x:c>
      <x:c r="Q38" s="4" t="str">
        <x:v>$0 minimum; $0–300/month early planning range, traffic dependent</x:v>
      </x:c>
      <x:c r="R38" s="4" t="str">
        <x:v>10–25% (subjective)</x:v>
      </x:c>
      <x:c r="S38" s="4" t="n">
        <x:v>2</x:v>
      </x:c>
      <x:c r="T38" s="12" t="n">
        <x:v>46359</x:v>
      </x:c>
      <x:c r="U38" s="12" t="n">
        <x:v>46366</x:v>
      </x:c>
      <x:c r="V38" s="4" t="str">
        <x:v>Research ready — reverify before send</x:v>
      </x:c>
      <x:c r="W38" s="4" t="str">
        <x:v>2010 affiliate press release is not current commission evidence. Third-party rates conflict; no rate assumed.</x:v>
      </x:c>
      <x:c r="X38" s="4" t="str">
        <x:v>Colorado rental locations and gear inventory; request current publisher program routing.</x:v>
      </x:c>
      <x:c r="Y38" s="4" t="n">
        <x:v>3</x:v>
      </x:c>
      <x:c r="Z38" s="4" t="n">
        <x:v>4</x:v>
      </x:c>
      <x:c r="AA38" s="4" t="n">
        <x:v>3</x:v>
      </x:c>
      <x:c r="AB38" s="4" t="n">
        <x:v>4</x:v>
      </x:c>
      <x:c r="AC38" s="4" t="n">
        <x:v>3</x:v>
      </x:c>
      <x:c r="AD38" s="4" t="n">
        <x:f>Y38*Z38*AA38*AB38*AC38</x:f>
        <x:v>432</x:v>
      </x:c>
      <x:c r="AE38" s="4" t="str">
        <x:v>N/A</x:v>
      </x:c>
      <x:c r="AF38" s="4" t="str">
        <x:v>N/A</x:v>
      </x:c>
      <x:c r="AG38" s="4" t="str">
        <x:v>https://www.christysports.com/on/demandware.store/Sites-ChristySports_US-Site/en_US/ContactUs-Landing</x:v>
      </x:c>
      <x:c r="AH38" s="4" t="str">
        <x:v>N/A</x:v>
      </x:c>
      <x:c r="AI38" s="12" t="n">
        <x:v>46274</x:v>
      </x:c>
      <x:c r="AJ38" s="4" t="str">
        <x:v>Public first-party business route researched; no delivery test or buyer authority confirmed</x:v>
      </x:c>
      <x:c r="AK38" s="4" t="str">
        <x:v>PeakCam × Christy Sports: small ski-season pilot</x:v>
      </x:c>
      <x:c r="AL38" s="4" t="str">
        <x:v>Hi Christy Sports team,
I’m Jared, the founder of PeakCam (peakcam.io), a small mountain-camera finder currently starting with three Colorado resorts. Colorado rental locations and gear inventory; request current publisher program routing.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39" ht="58" customHeight="1">
      <x:c r="A39" s="4" t="str">
        <x:v>PC-038</x:v>
      </x:c>
      <x:c r="B39" s="4" t="str">
        <x:v>P1 — First 25</x:v>
      </x:c>
      <x:c r="C39" s="4" t="str">
        <x:v>Expedia Group Affiliate Program</x:v>
      </x:c>
      <x:c r="D39" s="4" t="str">
        <x:v>Lodging / travel affiliate</x:v>
      </x:c>
      <x:c r="E39" s="4" t="str">
        <x:v>Seattle, Washington</x:v>
      </x:c>
      <x:c r="F39" s="4" t="str">
        <x:v>https://www.affiliates.expediagroup.com</x:v>
      </x:c>
      <x:c r="G39" s="4" t="str">
        <x:v>N/A</x:v>
      </x:c>
      <x:c r="H39" s="4" t="str">
        <x:v>N/A</x:v>
      </x:c>
      <x:c r="I39" s="4" t="str">
        <x:v>Affiliate program application</x:v>
      </x:c>
      <x:c r="J39" s="4" t="str">
        <x:v>N/A</x:v>
      </x:c>
      <x:c r="K39" s="4" t="str">
        <x:v>N/A</x:v>
      </x:c>
      <x:c r="L39" s="4" t="str">
        <x:v>N/A</x:v>
      </x:c>
      <x:c r="M39" s="4" t="str">
        <x:v>https://www.affiliates.expediagroup.com/</x:v>
      </x:c>
      <x:c r="N39" s="4" t="str">
        <x:v>N/A</x:v>
      </x:c>
      <x:c r="O39" s="4" t="str">
        <x:v>An approved, clearly disclosed resort-context referral link with merchant sub-ID tracking</x:v>
      </x:c>
      <x:c r="P39" s="4" t="str">
        <x:v>Net approved affiliate/referral commissions</x:v>
      </x:c>
      <x:c r="Q39" s="4" t="str">
        <x:v>$0 minimum; $0–300/month early planning range, traffic dependent</x:v>
      </x:c>
      <x:c r="R39" s="4" t="str">
        <x:v>10–25% (subjective)</x:v>
      </x:c>
      <x:c r="S39" s="4" t="n">
        <x:v>2</x:v>
      </x:c>
      <x:c r="T39" s="12" t="n">
        <x:v>46296</x:v>
      </x:c>
      <x:c r="U39" s="12" t="n">
        <x:v>46303</x:v>
      </x:c>
      <x:c r="V39" s="4" t="str">
        <x:v>Research ready — reverify before send</x:v>
      </x:c>
      <x:c r="W39" s="4" t="str">
        <x:v>Public page says up to 4% qualifying bookings; brand/product and account terms control. Do not count the three brands as separate qualified organizations.</x:v>
      </x:c>
      <x:c r="X39" s="4" t="str">
        <x:v>Single application covers Expedia, Hotels.com and Vrbo; deep-link lodging near approved resort pages.</x:v>
      </x:c>
      <x:c r="Y39" s="4" t="n">
        <x:v>3</x:v>
      </x:c>
      <x:c r="Z39" s="4" t="n">
        <x:v>5</x:v>
      </x:c>
      <x:c r="AA39" s="4" t="n">
        <x:v>3</x:v>
      </x:c>
      <x:c r="AB39" s="4" t="n">
        <x:v>4</x:v>
      </x:c>
      <x:c r="AC39" s="4" t="n">
        <x:v>4</x:v>
      </x:c>
      <x:c r="AD39" s="4" t="n">
        <x:f>Y39*Z39*AA39*AB39*AC39</x:f>
        <x:v>720</x:v>
      </x:c>
      <x:c r="AE39" s="4" t="n">
        <x:v>19</x:v>
      </x:c>
      <x:c r="AF39" s="4" t="str">
        <x:v>N/A</x:v>
      </x:c>
      <x:c r="AG39" s="4" t="str">
        <x:v>https://www.affiliates.expediagroup.com/</x:v>
      </x:c>
      <x:c r="AH39" s="4" t="str">
        <x:v>N/A</x:v>
      </x:c>
      <x:c r="AI39" s="12" t="n">
        <x:v>46274</x:v>
      </x:c>
      <x:c r="AJ39" s="4" t="str">
        <x:v>Public first-party business route researched; no delivery test or buyer authority confirmed</x:v>
      </x:c>
      <x:c r="AK39" s="4" t="str">
        <x:v>PeakCam × Expedia Group Affiliate Program: small ski-season pilot</x:v>
      </x:c>
      <x:c r="AL39" s="4" t="str">
        <x:v>Hi Expedia Group Affiliate Program team,
I’m Jared, the founder of PeakCam (peakcam.io), a small mountain-camera finder currently starting with three Colorado resorts. Single application covers Expedia, Hotels.com and Vrbo; deep-link lodging near approved resort pages.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0" ht="58" customHeight="1">
      <x:c r="A40" s="4" t="str">
        <x:v>PC-039</x:v>
      </x:c>
      <x:c r="B40" s="4" t="str">
        <x:v>P2 — after core proof</x:v>
      </x:c>
      <x:c r="C40" s="4" t="str">
        <x:v>DiscoverCars.com</x:v>
      </x:c>
      <x:c r="D40" s="4" t="str">
        <x:v>Car rental affiliate</x:v>
      </x:c>
      <x:c r="E40" s="4" t="str">
        <x:v>Riga, Latvia</x:v>
      </x:c>
      <x:c r="F40" s="4" t="str">
        <x:v>https://www.discovercars.com</x:v>
      </x:c>
      <x:c r="G40" s="4" t="str">
        <x:v>Sergey Kulpin</x:v>
      </x:c>
      <x:c r="H40" s="4" t="str">
        <x:v>Affiliate Marketing Manager</x:v>
      </x:c>
      <x:c r="I40" s="4" t="str">
        <x:v>Marketing / partnerships (routing request)</x:v>
      </x:c>
      <x:c r="J40" s="4" t="str">
        <x:v>sergey.kulpin@discovercars.com</x:v>
      </x:c>
      <x:c r="K40" s="4" t="str">
        <x:v>N/A</x:v>
      </x:c>
      <x:c r="L40" s="4" t="str">
        <x:v>N/A</x:v>
      </x:c>
      <x:c r="M40" s="4" t="str">
        <x:v>https://www.discovercars.com/affiliate</x:v>
      </x:c>
      <x:c r="N40" s="4" t="str">
        <x:v>N/A</x:v>
      </x:c>
      <x:c r="O40" s="4" t="str">
        <x:v>An approved, clearly disclosed resort-context referral link with merchant sub-ID tracking</x:v>
      </x:c>
      <x:c r="P40" s="4" t="str">
        <x:v>Net approved affiliate/referral commissions</x:v>
      </x:c>
      <x:c r="Q40" s="4" t="str">
        <x:v>$0 minimum; $0–300/month early planning range, traffic dependent</x:v>
      </x:c>
      <x:c r="R40" s="4" t="str">
        <x:v>10–25% (subjective)</x:v>
      </x:c>
      <x:c r="S40" s="4" t="n">
        <x:v>2</x:v>
      </x:c>
      <x:c r="T40" s="12" t="n">
        <x:v>46359</x:v>
      </x:c>
      <x:c r="U40" s="12" t="n">
        <x:v>46366</x:v>
      </x:c>
      <x:c r="V40" s="4" t="str">
        <x:v>Research ready — reverify before send</x:v>
      </x:c>
      <x:c r="W40" s="4" t="str">
        <x:v>70% of rental profit plus 30% Full Coverage revenue, NOT 70% of booking value; advertised ~$20 average is vendor marketing, not PeakCam forecast.</x:v>
      </x:c>
      <x:c r="X40" s="4" t="str">
        <x:v>Published commission structure, long attribution and a named affiliate manager; later destination travel test.</x:v>
      </x:c>
      <x:c r="Y40" s="4" t="n">
        <x:v>3</x:v>
      </x:c>
      <x:c r="Z40" s="4" t="n">
        <x:v>4</x:v>
      </x:c>
      <x:c r="AA40" s="4" t="n">
        <x:v>3</x:v>
      </x:c>
      <x:c r="AB40" s="4" t="n">
        <x:v>4</x:v>
      </x:c>
      <x:c r="AC40" s="4" t="n">
        <x:v>3</x:v>
      </x:c>
      <x:c r="AD40" s="4" t="n">
        <x:f>Y40*Z40*AA40*AB40*AC40</x:f>
        <x:v>432</x:v>
      </x:c>
      <x:c r="AE40" s="4" t="str">
        <x:v>N/A</x:v>
      </x:c>
      <x:c r="AF40" s="4" t="str">
        <x:v>N/A</x:v>
      </x:c>
      <x:c r="AG40" s="4" t="str">
        <x:v>https://www.discovercars.com/affiliate</x:v>
      </x:c>
      <x:c r="AH40" s="4" t="str">
        <x:v>N/A</x:v>
      </x:c>
      <x:c r="AI40" s="12" t="n">
        <x:v>46274</x:v>
      </x:c>
      <x:c r="AJ40" s="4" t="str">
        <x:v>Public first-party business route researched; no delivery test or buyer authority confirmed</x:v>
      </x:c>
      <x:c r="AK40" s="4" t="str">
        <x:v>PeakCam × DiscoverCars.com: small ski-season pilot</x:v>
      </x:c>
      <x:c r="AL40" s="4" t="str">
        <x:v>Hi Sergey,
I’m Jared, the founder of PeakCam (peakcam.io), a small mountain-camera finder currently starting with three Colorado resorts. Published commission structure, long attribution and a named affiliate manager; later destination travel test.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1" ht="58" customHeight="1">
      <x:c r="A41" s="4" t="str">
        <x:v>PC-040</x:v>
      </x:c>
      <x:c r="B41" s="4" t="str">
        <x:v>P3 — later / discovery</x:v>
      </x:c>
      <x:c r="C41" s="4" t="str">
        <x:v>GetYourGuide</x:v>
      </x:c>
      <x:c r="D41" s="4" t="str">
        <x:v>Activities affiliate</x:v>
      </x:c>
      <x:c r="E41" s="4" t="str">
        <x:v>Berlin, Germany</x:v>
      </x:c>
      <x:c r="F41" s="4" t="str">
        <x:v>https://www.getyourguide.com</x:v>
      </x:c>
      <x:c r="G41" s="4" t="str">
        <x:v>N/A</x:v>
      </x:c>
      <x:c r="H41" s="4" t="str">
        <x:v>N/A</x:v>
      </x:c>
      <x:c r="I41" s="4" t="str">
        <x:v>Creator / affiliate program</x:v>
      </x:c>
      <x:c r="J41" s="4" t="str">
        <x:v>N/A</x:v>
      </x:c>
      <x:c r="K41" s="4" t="str">
        <x:v>N/A</x:v>
      </x:c>
      <x:c r="L41" s="4" t="str">
        <x:v>N/A</x:v>
      </x:c>
      <x:c r="M41" s="4" t="str">
        <x:v>https://partner.getyourguide.support/hc/en-us/articles/23082933149981-How-to-get-started-with-the-Affiliate-Program-as-a-Creator</x:v>
      </x:c>
      <x:c r="N41" s="4" t="str">
        <x:v>N/A</x:v>
      </x:c>
      <x:c r="O41" s="4" t="str">
        <x:v>An approved, clearly disclosed resort-context referral link with merchant sub-ID tracking</x:v>
      </x:c>
      <x:c r="P41" s="4" t="str">
        <x:v>Net approved affiliate/referral commissions</x:v>
      </x:c>
      <x:c r="Q41" s="4" t="str">
        <x:v>$0 minimum; $0–300/month early planning range, traffic dependent</x:v>
      </x:c>
      <x:c r="R41" s="4" t="str">
        <x:v>10–25% (subjective)</x:v>
      </x:c>
      <x:c r="S41" s="4" t="n">
        <x:v>2</x:v>
      </x:c>
      <x:c r="T41" s="12" t="n">
        <x:v>46359</x:v>
      </x:c>
      <x:c r="U41" s="12" t="n">
        <x:v>46366</x:v>
      </x:c>
      <x:c r="V41" s="4" t="str">
        <x:v>Research ready — reverify before send</x:v>
      </x:c>
      <x:c r="W41" s="4" t="str">
        <x:v>Creator route says up to 8%, 30 days; publisher acceptance and ski lessons availability require verification.</x:v>
      </x:c>
      <x:c r="X41" s="4" t="str">
        <x:v>Destination activities and non-ski-day inventory; test only where ski-destination supply is relevant.</x:v>
      </x:c>
      <x:c r="Y41" s="4" t="n">
        <x:v>2</x:v>
      </x:c>
      <x:c r="Z41" s="4" t="n">
        <x:v>3</x:v>
      </x:c>
      <x:c r="AA41" s="4" t="n">
        <x:v>3</x:v>
      </x:c>
      <x:c r="AB41" s="4" t="n">
        <x:v>4</x:v>
      </x:c>
      <x:c r="AC41" s="4" t="n">
        <x:v>2</x:v>
      </x:c>
      <x:c r="AD41" s="4" t="n">
        <x:f>Y41*Z41*AA41*AB41*AC41</x:f>
        <x:v>144</x:v>
      </x:c>
      <x:c r="AE41" s="4" t="str">
        <x:v>N/A</x:v>
      </x:c>
      <x:c r="AF41" s="4" t="str">
        <x:v>N/A</x:v>
      </x:c>
      <x:c r="AG41" s="4" t="str">
        <x:v>https://partner.getyourguide.support/hc/en-us/articles/23082933149981-How-to-get-started-with-the-Affiliate-Program-as-a-Creator</x:v>
      </x:c>
      <x:c r="AH41" s="4" t="str">
        <x:v>N/A</x:v>
      </x:c>
      <x:c r="AI41" s="12" t="n">
        <x:v>46274</x:v>
      </x:c>
      <x:c r="AJ41" s="4" t="str">
        <x:v>Public first-party business route researched; no delivery test or buyer authority confirmed</x:v>
      </x:c>
      <x:c r="AK41" s="4" t="str">
        <x:v>PeakCam × GetYourGuide: small ski-season pilot</x:v>
      </x:c>
      <x:c r="AL41" s="4" t="str">
        <x:v>Hi GetYourGuide team,
I’m Jared, the founder of PeakCam (peakcam.io), a small mountain-camera finder currently starting with three Colorado resorts. Destination activities and non-ski-day inventory; test only where ski-destination supply is relevant.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2" ht="58" customHeight="1">
      <x:c r="A42" s="4" t="str">
        <x:v>PC-041</x:v>
      </x:c>
      <x:c r="B42" s="4" t="str">
        <x:v>P1 — First 25</x:v>
      </x:c>
      <x:c r="C42" s="4" t="str">
        <x:v>Colorado Ski Country USA</x:v>
      </x:c>
      <x:c r="D42" s="4" t="str">
        <x:v>Tourism / ski association</x:v>
      </x:c>
      <x:c r="E42" s="4" t="str">
        <x:v>Denver, Colorado</x:v>
      </x:c>
      <x:c r="F42" s="4" t="str">
        <x:v>https://www.coloradoski.com</x:v>
      </x:c>
      <x:c r="G42" s="4" t="str">
        <x:v>Sarah Beatty</x:v>
      </x:c>
      <x:c r="H42" s="4" t="str">
        <x:v>Communications Director</x:v>
      </x:c>
      <x:c r="I42" s="4" t="str">
        <x:v>Communications / member marketing</x:v>
      </x:c>
      <x:c r="J42" s="4" t="str">
        <x:v>sarah@coloradoski.com</x:v>
      </x:c>
      <x:c r="K42" s="4" t="str">
        <x:v>N/A</x:v>
      </x:c>
      <x:c r="L42" s="4" t="str">
        <x:v>303-837-0793</x:v>
      </x:c>
      <x:c r="M42" s="4" t="str">
        <x:v>https://www.coloradoski.com/media-room/</x:v>
      </x:c>
      <x:c r="N42" s="4" t="str">
        <x:v>N/A</x:v>
      </x:c>
      <x:c r="O42" s="4" t="str">
        <x:v>A concise, source-credited destination camera guide and trackable referral pilot</x:v>
      </x:c>
      <x:c r="P42" s="4" t="str">
        <x:v>Distribution/permissions first; destination sponsorship later</x:v>
      </x:c>
      <x:c r="Q42" s="4" t="str">
        <x:v>$0 pilot; $250–750/month hypothetical later</x:v>
      </x:c>
      <x:c r="R42" s="4" t="str">
        <x:v>8–20% (subjective)</x:v>
      </x:c>
      <x:c r="S42" s="4" t="n">
        <x:v>3</x:v>
      </x:c>
      <x:c r="T42" s="12" t="n">
        <x:v>46289</x:v>
      </x:c>
      <x:c r="U42" s="12" t="n">
        <x:v>46296</x:v>
      </x:c>
      <x:c r="V42" s="4" t="str">
        <x:v>Research ready — reverify before send</x:v>
      </x:c>
      <x:c r="W42" s="4" t="str">
        <x:v>N/A</x:v>
      </x:c>
      <x:c r="X42" s="4" t="str">
        <x:v>Best regional association fit; ask for feedback and routing to member camera owners, not a national ad contract.</x:v>
      </x:c>
      <x:c r="Y42" s="4" t="n">
        <x:v>4</x:v>
      </x:c>
      <x:c r="Z42" s="4" t="n">
        <x:v>5</x:v>
      </x:c>
      <x:c r="AA42" s="4" t="n">
        <x:v>3</x:v>
      </x:c>
      <x:c r="AB42" s="4" t="n">
        <x:v>3</x:v>
      </x:c>
      <x:c r="AC42" s="4" t="n">
        <x:v>4</x:v>
      </x:c>
      <x:c r="AD42" s="4" t="n">
        <x:f>Y42*Z42*AA42*AB42*AC42</x:f>
        <x:v>720</x:v>
      </x:c>
      <x:c r="AE42" s="4" t="n">
        <x:v>11</x:v>
      </x:c>
      <x:c r="AF42" s="4" t="str">
        <x:v>N/A</x:v>
      </x:c>
      <x:c r="AG42" s="4" t="str">
        <x:v>https://www.coloradoski.com/media-room/</x:v>
      </x:c>
      <x:c r="AH42" s="4" t="str">
        <x:v>https://www.coloradoski.com/contact/</x:v>
      </x:c>
      <x:c r="AI42" s="12" t="n">
        <x:v>46274</x:v>
      </x:c>
      <x:c r="AJ42" s="4" t="str">
        <x:v>Public first-party business route researched; no delivery test or buyer authority confirmed</x:v>
      </x:c>
      <x:c r="AK42" s="4" t="str">
        <x:v>PeakCam × Colorado Ski Country USA: small ski-season pilot</x:v>
      </x:c>
      <x:c r="AL42" s="4" t="str">
        <x:v>Hi Sarah,
I’m Jared, the founder of PeakCam (peakcam.io), a small mountain-camera finder currently starting with three Colorado resorts. Best regional association fit; ask for feedback and routing to member camera owners, not a national ad contract.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3" ht="58" customHeight="1">
      <x:c r="A43" s="4" t="str">
        <x:v>PC-042</x:v>
      </x:c>
      <x:c r="B43" s="4" t="str">
        <x:v>P1 — First 25</x:v>
      </x:c>
      <x:c r="C43" s="4" t="str">
        <x:v>Visit Glenwood Springs</x:v>
      </x:c>
      <x:c r="D43" s="4" t="str">
        <x:v>Tourism / DMO</x:v>
      </x:c>
      <x:c r="E43" s="4" t="str">
        <x:v>Glenwood Springs, Colorado</x:v>
      </x:c>
      <x:c r="F43" s="4" t="str">
        <x:v>https://visitglenwood.com</x:v>
      </x:c>
      <x:c r="G43" s="4" t="str">
        <x:v>N/A</x:v>
      </x:c>
      <x:c r="H43" s="4" t="str">
        <x:v>N/A</x:v>
      </x:c>
      <x:c r="I43" s="4" t="str">
        <x:v>Marketing / partnerships (routing request)</x:v>
      </x:c>
      <x:c r="J43" s="4" t="str">
        <x:v>info@visitglenwood.com</x:v>
      </x:c>
      <x:c r="K43" s="4" t="str">
        <x:v>N/A</x:v>
      </x:c>
      <x:c r="L43" s="4" t="str">
        <x:v>970-945-6580</x:v>
      </x:c>
      <x:c r="M43" s="4" t="str">
        <x:v>https://visitglenwood.com/</x:v>
      </x:c>
      <x:c r="N43" s="4" t="str">
        <x:v>N/A</x:v>
      </x:c>
      <x:c r="O43" s="4" t="str">
        <x:v>A concise, source-credited destination camera guide and trackable referral pilot</x:v>
      </x:c>
      <x:c r="P43" s="4" t="str">
        <x:v>Distribution/permissions first; destination sponsorship later</x:v>
      </x:c>
      <x:c r="Q43" s="4" t="str">
        <x:v>$0 pilot; $250–750/month hypothetical later</x:v>
      </x:c>
      <x:c r="R43" s="4" t="str">
        <x:v>8–20% (subjective)</x:v>
      </x:c>
      <x:c r="S43" s="4" t="n">
        <x:v>3</x:v>
      </x:c>
      <x:c r="T43" s="12" t="n">
        <x:v>46289</x:v>
      </x:c>
      <x:c r="U43" s="12" t="n">
        <x:v>46296</x:v>
      </x:c>
      <x:c r="V43" s="4" t="str">
        <x:v>Research ready — reverify before send</x:v>
      </x:c>
      <x:c r="W43" s="4" t="str">
        <x:v>N/A</x:v>
      </x:c>
      <x:c r="X43" s="4" t="str">
        <x:v>Pairs Sunlight with local lodging and year-round visitor services; test concierge distribution.</x:v>
      </x:c>
      <x:c r="Y43" s="4" t="n">
        <x:v>4</x:v>
      </x:c>
      <x:c r="Z43" s="4" t="n">
        <x:v>5</x:v>
      </x:c>
      <x:c r="AA43" s="4" t="n">
        <x:v>3</x:v>
      </x:c>
      <x:c r="AB43" s="4" t="n">
        <x:v>3</x:v>
      </x:c>
      <x:c r="AC43" s="4" t="n">
        <x:v>4</x:v>
      </x:c>
      <x:c r="AD43" s="4" t="n">
        <x:f>Y43*Z43*AA43*AB43*AC43</x:f>
        <x:v>720</x:v>
      </x:c>
      <x:c r="AE43" s="4" t="n">
        <x:v>12</x:v>
      </x:c>
      <x:c r="AF43" s="4" t="str">
        <x:v>N/A</x:v>
      </x:c>
      <x:c r="AG43" s="4" t="str">
        <x:v>https://visitglenwood.com/</x:v>
      </x:c>
      <x:c r="AH43" s="4" t="str">
        <x:v>N/A</x:v>
      </x:c>
      <x:c r="AI43" s="12" t="n">
        <x:v>46274</x:v>
      </x:c>
      <x:c r="AJ43" s="4" t="str">
        <x:v>Public first-party business route researched; no delivery test or buyer authority confirmed</x:v>
      </x:c>
      <x:c r="AK43" s="4" t="str">
        <x:v>PeakCam × Visit Glenwood Springs: small ski-season pilot</x:v>
      </x:c>
      <x:c r="AL43" s="4" t="str">
        <x:v>Hi Visit Glenwood Springs team,
I’m Jared, the founder of PeakCam (peakcam.io), a small mountain-camera finder currently starting with three Colorado resorts. Pairs Sunlight with local lodging and year-round visitor services; test concierge distribution.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4" ht="58" customHeight="1">
      <x:c r="A44" s="4" t="str">
        <x:v>PC-043</x:v>
      </x:c>
      <x:c r="B44" s="4" t="str">
        <x:v>P1 — First 25</x:v>
      </x:c>
      <x:c r="C44" s="4" t="str">
        <x:v>Breckenridge Tourism Office / GoBreck</x:v>
      </x:c>
      <x:c r="D44" s="4" t="str">
        <x:v>Tourism / DMO</x:v>
      </x:c>
      <x:c r="E44" s="4" t="str">
        <x:v>Breckenridge, Colorado</x:v>
      </x:c>
      <x:c r="F44" s="4" t="str">
        <x:v>https://gobreck.com</x:v>
      </x:c>
      <x:c r="G44" s="4" t="str">
        <x:v>Kerry O’Connor</x:v>
      </x:c>
      <x:c r="H44" s="4" t="str">
        <x:v>Public Relations and Social Media Manager</x:v>
      </x:c>
      <x:c r="I44" s="4" t="str">
        <x:v>Marketing / partnerships (routing request)</x:v>
      </x:c>
      <x:c r="J44" s="4" t="str">
        <x:v>koconnor@gobreck.com</x:v>
      </x:c>
      <x:c r="K44" s="4" t="str">
        <x:v>N/A</x:v>
      </x:c>
      <x:c r="L44" s="4" t="str">
        <x:v>N/A</x:v>
      </x:c>
      <x:c r="M44" s="4" t="str">
        <x:v>https://gobreck.com/media/</x:v>
      </x:c>
      <x:c r="N44" s="4" t="str">
        <x:v>N/A</x:v>
      </x:c>
      <x:c r="O44" s="4" t="str">
        <x:v>A concise, source-credited destination camera guide and trackable referral pilot</x:v>
      </x:c>
      <x:c r="P44" s="4" t="str">
        <x:v>Distribution/permissions first; destination sponsorship later</x:v>
      </x:c>
      <x:c r="Q44" s="4" t="str">
        <x:v>$0 pilot; $250–750/month hypothetical later</x:v>
      </x:c>
      <x:c r="R44" s="4" t="str">
        <x:v>8–20% (subjective)</x:v>
      </x:c>
      <x:c r="S44" s="4" t="n">
        <x:v>3</x:v>
      </x:c>
      <x:c r="T44" s="12" t="n">
        <x:v>46289</x:v>
      </x:c>
      <x:c r="U44" s="12" t="n">
        <x:v>46296</x:v>
      </x:c>
      <x:c r="V44" s="4" t="str">
        <x:v>Research ready — reverify before send</x:v>
      </x:c>
      <x:c r="W44" s="4" t="str">
        <x:v>Fix the two placeholder Breckenridge entries before pitching. PR channel is not a confirmed advertising buyer.</x:v>
      </x:c>
      <x:c r="X44" s="4" t="str">
        <x:v>Destination already in PeakCam catalog; request approved visual assets and a visitor-usefulness review.</x:v>
      </x:c>
      <x:c r="Y44" s="4" t="n">
        <x:v>4</x:v>
      </x:c>
      <x:c r="Z44" s="4" t="n">
        <x:v>5</x:v>
      </x:c>
      <x:c r="AA44" s="4" t="n">
        <x:v>3</x:v>
      </x:c>
      <x:c r="AB44" s="4" t="n">
        <x:v>3</x:v>
      </x:c>
      <x:c r="AC44" s="4" t="n">
        <x:v>4</x:v>
      </x:c>
      <x:c r="AD44" s="4" t="n">
        <x:f>Y44*Z44*AA44*AB44*AC44</x:f>
        <x:v>720</x:v>
      </x:c>
      <x:c r="AE44" s="4" t="n">
        <x:v>13</x:v>
      </x:c>
      <x:c r="AF44" s="4" t="str">
        <x:v>N/A</x:v>
      </x:c>
      <x:c r="AG44" s="4" t="str">
        <x:v>https://gobreck.com/media/</x:v>
      </x:c>
      <x:c r="AH44" s="4" t="str">
        <x:v>N/A</x:v>
      </x:c>
      <x:c r="AI44" s="12" t="n">
        <x:v>46274</x:v>
      </x:c>
      <x:c r="AJ44" s="4" t="str">
        <x:v>Public first-party business route researched; no delivery test or buyer authority confirmed</x:v>
      </x:c>
      <x:c r="AK44" s="4" t="str">
        <x:v>PeakCam × Breckenridge Tourism Office / GoBreck: small ski-season pilot</x:v>
      </x:c>
      <x:c r="AL44" s="4" t="str">
        <x:v>Hi Kerry,
I’m Jared, the founder of PeakCam (peakcam.io), a small mountain-camera finder currently starting with three Colorado resorts. Destination already in PeakCam catalog; request approved visual assets and a visitor-usefulness review.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5" ht="58" customHeight="1">
      <x:c r="A45" s="4" t="str">
        <x:v>PC-044</x:v>
      </x:c>
      <x:c r="B45" s="4" t="str">
        <x:v>P2 — after core proof</x:v>
      </x:c>
      <x:c r="C45" s="4" t="str">
        <x:v>Ski Utah</x:v>
      </x:c>
      <x:c r="D45" s="4" t="str">
        <x:v>Tourism / ski association</x:v>
      </x:c>
      <x:c r="E45" s="4" t="str">
        <x:v>Salt Lake City, Utah</x:v>
      </x:c>
      <x:c r="F45" s="4" t="str">
        <x:v>https://www.skiutah.com</x:v>
      </x:c>
      <x:c r="G45" s="4" t="str">
        <x:v>Raelene Davis</x:v>
      </x:c>
      <x:c r="H45" s="4" t="str">
        <x:v>Marketing inquiries lead</x:v>
      </x:c>
      <x:c r="I45" s="4" t="str">
        <x:v>Marketing / partnerships (routing request)</x:v>
      </x:c>
      <x:c r="J45" s="4" t="str">
        <x:v>raelene@skiutah.com</x:v>
      </x:c>
      <x:c r="K45" s="4" t="str">
        <x:v>N/A</x:v>
      </x:c>
      <x:c r="L45" s="4" t="str">
        <x:v>801-433-2015</x:v>
      </x:c>
      <x:c r="M45" s="4" t="str">
        <x:v>https://www.skiutah.com/about/about-us/raelene-davis/</x:v>
      </x:c>
      <x:c r="N45" s="4" t="str">
        <x:v>N/A</x:v>
      </x:c>
      <x:c r="O45" s="4" t="str">
        <x:v>A concise, source-credited destination camera guide and trackable referral pilot</x:v>
      </x:c>
      <x:c r="P45" s="4" t="str">
        <x:v>Distribution/permissions first; destination sponsorship later</x:v>
      </x:c>
      <x:c r="Q45" s="4" t="str">
        <x:v>$0 pilot; $250–750/month hypothetical later</x:v>
      </x:c>
      <x:c r="R45" s="4" t="str">
        <x:v>8–20% (subjective)</x:v>
      </x:c>
      <x:c r="S45" s="4" t="n">
        <x:v>3</x:v>
      </x:c>
      <x:c r="T45" s="12" t="n">
        <x:v>46366</x:v>
      </x:c>
      <x:c r="U45" s="12" t="n">
        <x:v>46373</x:v>
      </x:c>
      <x:c r="V45" s="4" t="str">
        <x:v>Research ready — reverify before send</x:v>
      </x:c>
      <x:c r="W45" s="4" t="str">
        <x:v>Other public routes: press@skiutah.com; Albert@skiutah.com for buying Ski Utah advertising, not necessarily selling PeakCam inventory.</x:v>
      </x:c>
      <x:c r="X45" s="4" t="str">
        <x:v>Later Utah expansion with destination-wide marketing fit; ask for source/attribution guidance before co-promotion.</x:v>
      </x:c>
      <x:c r="Y45" s="4" t="n">
        <x:v>3</x:v>
      </x:c>
      <x:c r="Z45" s="4" t="n">
        <x:v>4</x:v>
      </x:c>
      <x:c r="AA45" s="4" t="n">
        <x:v>3</x:v>
      </x:c>
      <x:c r="AB45" s="4" t="n">
        <x:v>3</x:v>
      </x:c>
      <x:c r="AC45" s="4" t="n">
        <x:v>3</x:v>
      </x:c>
      <x:c r="AD45" s="4" t="n">
        <x:f>Y45*Z45*AA45*AB45*AC45</x:f>
        <x:v>324</x:v>
      </x:c>
      <x:c r="AE45" s="4" t="str">
        <x:v>N/A</x:v>
      </x:c>
      <x:c r="AF45" s="4" t="str">
        <x:v>N/A</x:v>
      </x:c>
      <x:c r="AG45" s="4" t="str">
        <x:v>https://www.skiutah.com/about/about-us/raelene-davis/</x:v>
      </x:c>
      <x:c r="AH45" s="4" t="str">
        <x:v>https://www.skiutah.com/media-room/Press-Room</x:v>
      </x:c>
      <x:c r="AI45" s="12" t="n">
        <x:v>46274</x:v>
      </x:c>
      <x:c r="AJ45" s="4" t="str">
        <x:v>Public first-party business route researched; no delivery test or buyer authority confirmed</x:v>
      </x:c>
      <x:c r="AK45" s="4" t="str">
        <x:v>PeakCam × Ski Utah: small ski-season pilot</x:v>
      </x:c>
      <x:c r="AL45" s="4" t="str">
        <x:v>Hi Raelene,
I’m Jared, the founder of PeakCam (peakcam.io), a small mountain-camera finder currently starting with three Colorado resorts. Later Utah expansion with destination-wide marketing fit; ask for source/attribution guidance before co-promotion.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6" ht="58" customHeight="1">
      <x:c r="A46" s="4" t="str">
        <x:v>PC-045</x:v>
      </x:c>
      <x:c r="B46" s="4" t="str">
        <x:v>P1 — First 25</x:v>
      </x:c>
      <x:c r="C46" s="4" t="str">
        <x:v>Blue River Sports</x:v>
      </x:c>
      <x:c r="D46" s="4" t="str">
        <x:v>Local rental shop</x:v>
      </x:c>
      <x:c r="E46" s="4" t="str">
        <x:v>Breckenridge, Colorado</x:v>
      </x:c>
      <x:c r="F46" s="4" t="str">
        <x:v>https://www.blueriversports.com</x:v>
      </x:c>
      <x:c r="G46" s="4" t="str">
        <x:v>N/A</x:v>
      </x:c>
      <x:c r="H46" s="4" t="str">
        <x:v>N/A</x:v>
      </x:c>
      <x:c r="I46" s="4" t="str">
        <x:v>Marketing / partnerships (routing request)</x:v>
      </x:c>
      <x:c r="J46" s="4" t="str">
        <x:v>N/A</x:v>
      </x:c>
      <x:c r="K46" s="4" t="str">
        <x:v>N/A</x:v>
      </x:c>
      <x:c r="L46" s="4" t="str">
        <x:v>970-453-1110</x:v>
      </x:c>
      <x:c r="M46" s="4" t="str">
        <x:v>https://www.summitchamber.org/connections/78492-blue-river-sports/</x:v>
      </x:c>
      <x:c r="N46" s="4" t="str">
        <x:v>N/A</x:v>
      </x:c>
      <x:c r="O46" s="4" t="str">
        <x:v>One labeled nearby-business placement on a relevant resort page with a monthly click report</x:v>
      </x:c>
      <x:c r="P46" s="4" t="str">
        <x:v>Local sponsor / qualified referral</x:v>
      </x:c>
      <x:c r="Q46" s="4" t="str">
        <x:v>$50–150/month pilot; no promised bookings</x:v>
      </x:c>
      <x:c r="R46" s="4" t="str">
        <x:v>15–30% (subjective)</x:v>
      </x:c>
      <x:c r="S46" s="4" t="n">
        <x:v>2</x:v>
      </x:c>
      <x:c r="T46" s="12" t="n">
        <x:v>46289</x:v>
      </x:c>
      <x:c r="U46" s="12" t="n">
        <x:v>46296</x:v>
      </x:c>
      <x:c r="V46" s="4" t="str">
        <x:v>Research ready — reverify before send</x:v>
      </x:c>
      <x:c r="W46" s="4" t="str">
        <x:v>Public chamber directory phone; official email not verified. Ask for owner/marketing by phone.</x:v>
      </x:c>
      <x:c r="X46" s="4" t="str">
        <x:v>Direct match to the current Breckenridge page; propose a tracked rental referral test after repairing the camera entries.</x:v>
      </x:c>
      <x:c r="Y46" s="4" t="n">
        <x:v>3</x:v>
      </x:c>
      <x:c r="Z46" s="4" t="n">
        <x:v>5</x:v>
      </x:c>
      <x:c r="AA46" s="4" t="n">
        <x:v>3</x:v>
      </x:c>
      <x:c r="AB46" s="4" t="n">
        <x:v>4</x:v>
      </x:c>
      <x:c r="AC46" s="4" t="n">
        <x:v>4</x:v>
      </x:c>
      <x:c r="AD46" s="4" t="n">
        <x:f>Y46*Z46*AA46*AB46*AC46</x:f>
        <x:v>720</x:v>
      </x:c>
      <x:c r="AE46" s="4" t="n">
        <x:v>14</x:v>
      </x:c>
      <x:c r="AF46" s="4" t="str">
        <x:v>N/A</x:v>
      </x:c>
      <x:c r="AG46" s="4" t="str">
        <x:v>https://www.summitchamber.org/connections/78492-blue-river-sports/</x:v>
      </x:c>
      <x:c r="AH46" s="4" t="str">
        <x:v>https://www.colorado.com/breckenridge/winter-activities/equipment-rentals/blue-river-sports</x:v>
      </x:c>
      <x:c r="AI46" s="12" t="n">
        <x:v>46274</x:v>
      </x:c>
      <x:c r="AJ46" s="4" t="str">
        <x:v>Public directory/business-profile route; reverify with organization</x:v>
      </x:c>
      <x:c r="AK46" s="4" t="str">
        <x:v>PeakCam × Blue River Sports: small ski-season pilot</x:v>
      </x:c>
      <x:c r="AL46" s="4" t="str">
        <x:v>Hi Blue River Sports team,
I’m Jared, the founder of PeakCam (peakcam.io), a small mountain-camera finder currently starting with three Colorado resorts. Direct match to the current Breckenridge page; propose a tracked rental referral test after repairing the camera entries.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7" ht="58" customHeight="1">
      <x:c r="A47" s="4" t="str">
        <x:v>PC-046</x:v>
      </x:c>
      <x:c r="B47" s="4" t="str">
        <x:v>P1 — First 25</x:v>
      </x:c>
      <x:c r="C47" s="4" t="str">
        <x:v>Mountain View Sports</x:v>
      </x:c>
      <x:c r="D47" s="4" t="str">
        <x:v>Local rental shop</x:v>
      </x:c>
      <x:c r="E47" s="4" t="str">
        <x:v>Keystone, Colorado</x:v>
      </x:c>
      <x:c r="F47" s="4" t="str">
        <x:v>https://mountainviewsports.com</x:v>
      </x:c>
      <x:c r="G47" s="4" t="str">
        <x:v>N/A</x:v>
      </x:c>
      <x:c r="H47" s="4" t="str">
        <x:v>N/A</x:v>
      </x:c>
      <x:c r="I47" s="4" t="str">
        <x:v>Marketing / partnerships (routing request)</x:v>
      </x:c>
      <x:c r="J47" s="4" t="str">
        <x:v>N/A</x:v>
      </x:c>
      <x:c r="K47" s="4" t="str">
        <x:v>N/A</x:v>
      </x:c>
      <x:c r="L47" s="4" t="str">
        <x:v>970-468-0396</x:v>
      </x:c>
      <x:c r="M47" s="4" t="str">
        <x:v>https://mountainviewsports.com/store-location/</x:v>
      </x:c>
      <x:c r="N47" s="4" t="str">
        <x:v>N/A</x:v>
      </x:c>
      <x:c r="O47" s="4" t="str">
        <x:v>One labeled nearby-business placement on a relevant resort page with a monthly click report</x:v>
      </x:c>
      <x:c r="P47" s="4" t="str">
        <x:v>Local sponsor / qualified referral</x:v>
      </x:c>
      <x:c r="Q47" s="4" t="str">
        <x:v>$50–150/month pilot; no promised bookings</x:v>
      </x:c>
      <x:c r="R47" s="4" t="str">
        <x:v>15–30% (subjective)</x:v>
      </x:c>
      <x:c r="S47" s="4" t="n">
        <x:v>2</x:v>
      </x:c>
      <x:c r="T47" s="12" t="n">
        <x:v>46289</x:v>
      </x:c>
      <x:c r="U47" s="12" t="n">
        <x:v>46296</x:v>
      </x:c>
      <x:c r="V47" s="4" t="str">
        <x:v>Research ready — reverify before send</x:v>
      </x:c>
      <x:c r="W47" s="4" t="str">
        <x:v>N/A</x:v>
      </x:c>
      <x:c r="X47" s="4" t="str">
        <x:v>Family rental shop in the immediate Summit County expansion cluster; offer useful destination referrals, not promised bookings.</x:v>
      </x:c>
      <x:c r="Y47" s="4" t="n">
        <x:v>3</x:v>
      </x:c>
      <x:c r="Z47" s="4" t="n">
        <x:v>5</x:v>
      </x:c>
      <x:c r="AA47" s="4" t="n">
        <x:v>3</x:v>
      </x:c>
      <x:c r="AB47" s="4" t="n">
        <x:v>4</x:v>
      </x:c>
      <x:c r="AC47" s="4" t="n">
        <x:v>4</x:v>
      </x:c>
      <x:c r="AD47" s="4" t="n">
        <x:f>Y47*Z47*AA47*AB47*AC47</x:f>
        <x:v>720</x:v>
      </x:c>
      <x:c r="AE47" s="4" t="n">
        <x:v>15</x:v>
      </x:c>
      <x:c r="AF47" s="4" t="str">
        <x:v>N/A</x:v>
      </x:c>
      <x:c r="AG47" s="4" t="str">
        <x:v>https://mountainviewsports.com/store-location/</x:v>
      </x:c>
      <x:c r="AH47" s="4" t="str">
        <x:v>N/A</x:v>
      </x:c>
      <x:c r="AI47" s="12" t="n">
        <x:v>46274</x:v>
      </x:c>
      <x:c r="AJ47" s="4" t="str">
        <x:v>Public first-party business route researched; no delivery test or buyer authority confirmed</x:v>
      </x:c>
      <x:c r="AK47" s="4" t="str">
        <x:v>PeakCam × Mountain View Sports: small ski-season pilot</x:v>
      </x:c>
      <x:c r="AL47" s="4" t="str">
        <x:v>Hi Mountain View Sports team,
I’m Jared, the founder of PeakCam (peakcam.io), a small mountain-camera finder currently starting with three Colorado resorts. Family rental shop in the immediate Summit County expansion cluster; offer useful destination referrals, not promised bookings.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8" ht="58" customHeight="1">
      <x:c r="A48" s="4" t="str">
        <x:v>PC-047</x:v>
      </x:c>
      <x:c r="B48" s="4" t="str">
        <x:v>P2 — after core proof</x:v>
      </x:c>
      <x:c r="C48" s="4" t="str">
        <x:v>SummitCove Lodging</x:v>
      </x:c>
      <x:c r="D48" s="4" t="str">
        <x:v>Lodging / property manager</x:v>
      </x:c>
      <x:c r="E48" s="4" t="str">
        <x:v>Keystone, Colorado</x:v>
      </x:c>
      <x:c r="F48" s="4" t="str">
        <x:v>https://www.summitcove.com</x:v>
      </x:c>
      <x:c r="G48" s="4" t="str">
        <x:v>N/A</x:v>
      </x:c>
      <x:c r="H48" s="4" t="str">
        <x:v>N/A</x:v>
      </x:c>
      <x:c r="I48" s="4" t="str">
        <x:v>Marketing / partnerships (routing request)</x:v>
      </x:c>
      <x:c r="J48" s="4" t="str">
        <x:v>Inquiry@SummitCove.com</x:v>
      </x:c>
      <x:c r="K48" s="4" t="str">
        <x:v>N/A</x:v>
      </x:c>
      <x:c r="L48" s="4" t="str">
        <x:v>970-368-7023</x:v>
      </x:c>
      <x:c r="M48" s="4" t="str">
        <x:v>https://www.trustpilot.com/review/summitcove.com</x:v>
      </x:c>
      <x:c r="N48" s="4" t="str">
        <x:v>N/A</x:v>
      </x:c>
      <x:c r="O48" s="4" t="str">
        <x:v>One labeled nearby-business placement on a relevant resort page with a monthly click report</x:v>
      </x:c>
      <x:c r="P48" s="4" t="str">
        <x:v>Local sponsor / qualified referral</x:v>
      </x:c>
      <x:c r="Q48" s="4" t="str">
        <x:v>$50–150/month pilot; no promised bookings</x:v>
      </x:c>
      <x:c r="R48" s="4" t="str">
        <x:v>15–30% (subjective)</x:v>
      </x:c>
      <x:c r="S48" s="4" t="n">
        <x:v>2</x:v>
      </x:c>
      <x:c r="T48" s="12" t="n">
        <x:v>46373</x:v>
      </x:c>
      <x:c r="U48" s="12" t="n">
        <x:v>46380</x:v>
      </x:c>
      <x:c r="V48" s="4" t="str">
        <x:v>Research ready — reverify before send</x:v>
      </x:c>
      <x:c r="W48" s="4" t="str">
        <x:v>Business contact comes from a public business profile, not independently confirmed on its website. Call to reverify before emailing.</x:v>
      </x:c>
      <x:c r="X48" s="4" t="str">
        <x:v>Test a camera collection in guest pre-arrival communications and optional tracked lodging referrals.</x:v>
      </x:c>
      <x:c r="Y48" s="4" t="n">
        <x:v>3</x:v>
      </x:c>
      <x:c r="Z48" s="4" t="n">
        <x:v>4</x:v>
      </x:c>
      <x:c r="AA48" s="4" t="n">
        <x:v>3</x:v>
      </x:c>
      <x:c r="AB48" s="4" t="n">
        <x:v>4</x:v>
      </x:c>
      <x:c r="AC48" s="4" t="n">
        <x:v>3</x:v>
      </x:c>
      <x:c r="AD48" s="4" t="n">
        <x:f>Y48*Z48*AA48*AB48*AC48</x:f>
        <x:v>432</x:v>
      </x:c>
      <x:c r="AE48" s="4" t="str">
        <x:v>N/A</x:v>
      </x:c>
      <x:c r="AF48" s="4" t="str">
        <x:v>N/A</x:v>
      </x:c>
      <x:c r="AG48" s="4" t="str">
        <x:v>https://www.trustpilot.com/review/summitcove.com</x:v>
      </x:c>
      <x:c r="AH48" s="4" t="str">
        <x:v>N/A</x:v>
      </x:c>
      <x:c r="AI48" s="12" t="n">
        <x:v>46274</x:v>
      </x:c>
      <x:c r="AJ48" s="4" t="str">
        <x:v>Public directory/business-profile route; reverify with organization</x:v>
      </x:c>
      <x:c r="AK48" s="4" t="str">
        <x:v>PeakCam × SummitCove Lodging: small ski-season pilot</x:v>
      </x:c>
      <x:c r="AL48" s="4" t="str">
        <x:v>Hi SummitCove Lodging team,
I’m Jared, the founder of PeakCam (peakcam.io), a small mountain-camera finder currently starting with three Colorado resorts. Test a camera collection in guest pre-arrival communications and optional tracked lodging referrals.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49" ht="58" customHeight="1">
      <x:c r="A49" s="4" t="str">
        <x:v>PC-048</x:v>
      </x:c>
      <x:c r="B49" s="4" t="str">
        <x:v>P3 — later / discovery</x:v>
      </x:c>
      <x:c r="C49" s="4" t="str">
        <x:v>Breckenridge Brewery &amp; Pub</x:v>
      </x:c>
      <x:c r="D49" s="4" t="str">
        <x:v>Local restaurant</x:v>
      </x:c>
      <x:c r="E49" s="4" t="str">
        <x:v>Breckenridge, Colorado</x:v>
      </x:c>
      <x:c r="F49" s="4" t="str">
        <x:v>https://www.breckbrew.com</x:v>
      </x:c>
      <x:c r="G49" s="4" t="str">
        <x:v>N/A</x:v>
      </x:c>
      <x:c r="H49" s="4" t="str">
        <x:v>N/A</x:v>
      </x:c>
      <x:c r="I49" s="4" t="str">
        <x:v>Marketing / partnerships (routing request)</x:v>
      </x:c>
      <x:c r="J49" s="4" t="str">
        <x:v>N/A</x:v>
      </x:c>
      <x:c r="K49" s="4" t="str">
        <x:v>N/A</x:v>
      </x:c>
      <x:c r="L49" s="4" t="str">
        <x:v>970-453-1550</x:v>
      </x:c>
      <x:c r="M49" s="4" t="str">
        <x:v>https://www.breckbrew.com/visit/breckenridge/</x:v>
      </x:c>
      <x:c r="N49" s="4" t="str">
        <x:v>N/A</x:v>
      </x:c>
      <x:c r="O49" s="4" t="str">
        <x:v>One labeled nearby-business placement on a relevant resort page with a monthly click report</x:v>
      </x:c>
      <x:c r="P49" s="4" t="str">
        <x:v>Local sponsor / qualified referral</x:v>
      </x:c>
      <x:c r="Q49" s="4" t="str">
        <x:v>$50–150/month pilot; no promised bookings</x:v>
      </x:c>
      <x:c r="R49" s="4" t="str">
        <x:v>15–30% (subjective)</x:v>
      </x:c>
      <x:c r="S49" s="4" t="n">
        <x:v>2</x:v>
      </x:c>
      <x:c r="T49" s="12" t="n">
        <x:v>46373</x:v>
      </x:c>
      <x:c r="U49" s="12" t="n">
        <x:v>46380</x:v>
      </x:c>
      <x:c r="V49" s="4" t="str">
        <x:v>Research ready — reverify before send</x:v>
      </x:c>
      <x:c r="W49" s="4" t="str">
        <x:v>N/A</x:v>
      </x:c>
      <x:c r="X49" s="4" t="str">
        <x:v>Later clearly labeled restaurant placement near the Breckenridge page; sell restaurant discovery, not alcohol products.</x:v>
      </x:c>
      <x:c r="Y49" s="4" t="n">
        <x:v>2</x:v>
      </x:c>
      <x:c r="Z49" s="4" t="n">
        <x:v>3</x:v>
      </x:c>
      <x:c r="AA49" s="4" t="n">
        <x:v>3</x:v>
      </x:c>
      <x:c r="AB49" s="4" t="n">
        <x:v>4</x:v>
      </x:c>
      <x:c r="AC49" s="4" t="n">
        <x:v>2</x:v>
      </x:c>
      <x:c r="AD49" s="4" t="n">
        <x:f>Y49*Z49*AA49*AB49*AC49</x:f>
        <x:v>144</x:v>
      </x:c>
      <x:c r="AE49" s="4" t="str">
        <x:v>N/A</x:v>
      </x:c>
      <x:c r="AF49" s="4" t="str">
        <x:v>N/A</x:v>
      </x:c>
      <x:c r="AG49" s="4" t="str">
        <x:v>https://www.breckbrew.com/visit/breckenridge/</x:v>
      </x:c>
      <x:c r="AH49" s="4" t="str">
        <x:v>N/A</x:v>
      </x:c>
      <x:c r="AI49" s="12" t="n">
        <x:v>46274</x:v>
      </x:c>
      <x:c r="AJ49" s="4" t="str">
        <x:v>Public first-party business route researched; no delivery test or buyer authority confirmed</x:v>
      </x:c>
      <x:c r="AK49" s="4" t="str">
        <x:v>PeakCam × Breckenridge Brewery &amp; Pub: small ski-season pilot</x:v>
      </x:c>
      <x:c r="AL49" s="4" t="str">
        <x:v>Hi Breckenridge Brewery &amp; Pub team,
I’m Jared, the founder of PeakCam (peakcam.io), a small mountain-camera finder currently starting with three Colorado resorts. Later clearly labeled restaurant placement near the Breckenridge page; sell restaurant discovery, not alcohol products.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50" ht="58" customHeight="1">
      <x:c r="A50" s="4" t="str">
        <x:v>PC-049</x:v>
      </x:c>
      <x:c r="B50" s="4" t="str">
        <x:v>P1 — First 25</x:v>
      </x:c>
      <x:c r="C50" s="4" t="str">
        <x:v>Blue Sky Ski Rentals</x:v>
      </x:c>
      <x:c r="D50" s="4" t="str">
        <x:v>Local rental shop</x:v>
      </x:c>
      <x:c r="E50" s="4" t="str">
        <x:v>Glenwood Springs, Colorado</x:v>
      </x:c>
      <x:c r="F50" s="4" t="str">
        <x:v>https://www.blueskyski.net</x:v>
      </x:c>
      <x:c r="G50" s="4" t="str">
        <x:v>N/A</x:v>
      </x:c>
      <x:c r="H50" s="4" t="str">
        <x:v>N/A</x:v>
      </x:c>
      <x:c r="I50" s="4" t="str">
        <x:v>Marketing / partnerships (routing request)</x:v>
      </x:c>
      <x:c r="J50" s="4" t="str">
        <x:v>infoblueskyski@gmail.com</x:v>
      </x:c>
      <x:c r="K50" s="4" t="str">
        <x:v>N/A</x:v>
      </x:c>
      <x:c r="L50" s="4" t="str">
        <x:v>970-945-1552</x:v>
      </x:c>
      <x:c r="M50" s="4" t="str">
        <x:v>https://www.blueskyski.net/privacy-policy/</x:v>
      </x:c>
      <x:c r="N50" s="4" t="str">
        <x:v>N/A</x:v>
      </x:c>
      <x:c r="O50" s="4" t="str">
        <x:v>One labeled nearby-business placement on a relevant resort page with a monthly click report</x:v>
      </x:c>
      <x:c r="P50" s="4" t="str">
        <x:v>Local sponsor / qualified referral</x:v>
      </x:c>
      <x:c r="Q50" s="4" t="str">
        <x:v>$50–150/month pilot; no promised bookings</x:v>
      </x:c>
      <x:c r="R50" s="4" t="str">
        <x:v>15–30% (subjective)</x:v>
      </x:c>
      <x:c r="S50" s="4" t="n">
        <x:v>2</x:v>
      </x:c>
      <x:c r="T50" s="12" t="n">
        <x:v>46296</x:v>
      </x:c>
      <x:c r="U50" s="12" t="n">
        <x:v>46303</x:v>
      </x:c>
      <x:c r="V50" s="4" t="str">
        <x:v>Research ready — reverify before send</x:v>
      </x:c>
      <x:c r="W50" s="4" t="str">
        <x:v>N/A</x:v>
      </x:c>
      <x:c r="X50" s="4" t="str">
        <x:v>Completes a Sunlight–Glenwood destination cluster; small rental-referral pilot.</x:v>
      </x:c>
      <x:c r="Y50" s="4" t="n">
        <x:v>4</x:v>
      </x:c>
      <x:c r="Z50" s="4" t="n">
        <x:v>5</x:v>
      </x:c>
      <x:c r="AA50" s="4" t="n">
        <x:v>3</x:v>
      </x:c>
      <x:c r="AB50" s="4" t="n">
        <x:v>4</x:v>
      </x:c>
      <x:c r="AC50" s="4" t="n">
        <x:v>4</x:v>
      </x:c>
      <x:c r="AD50" s="4" t="n">
        <x:f>Y50*Z50*AA50*AB50*AC50</x:f>
        <x:v>960</x:v>
      </x:c>
      <x:c r="AE50" s="4" t="n">
        <x:v>17</x:v>
      </x:c>
      <x:c r="AF50" s="4" t="str">
        <x:v>N/A</x:v>
      </x:c>
      <x:c r="AG50" s="4" t="str">
        <x:v>https://www.blueskyski.net/privacy-policy/</x:v>
      </x:c>
      <x:c r="AH50" s="4" t="str">
        <x:v>N/A</x:v>
      </x:c>
      <x:c r="AI50" s="12" t="n">
        <x:v>46274</x:v>
      </x:c>
      <x:c r="AJ50" s="4" t="str">
        <x:v>Public first-party business route researched; no delivery test or buyer authority confirmed</x:v>
      </x:c>
      <x:c r="AK50" s="4" t="str">
        <x:v>PeakCam × Blue Sky Ski Rentals: small ski-season pilot</x:v>
      </x:c>
      <x:c r="AL50" s="4" t="str">
        <x:v>Hi Blue Sky Ski Rentals team,
I’m Jared, the founder of PeakCam (peakcam.io), a small mountain-camera finder currently starting with three Colorado resorts. Completes a Sunlight–Glenwood destination cluster; small rental-referral pilot.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51" ht="58" customHeight="1">
      <x:c r="A51" s="4" t="str">
        <x:v>PC-050</x:v>
      </x:c>
      <x:c r="B51" s="4" t="str">
        <x:v>P1 — First 25</x:v>
      </x:c>
      <x:c r="C51" s="4" t="str">
        <x:v>SnowBrains</x:v>
      </x:c>
      <x:c r="D51" s="4" t="str">
        <x:v>Ski media</x:v>
      </x:c>
      <x:c r="E51" s="4" t="str">
        <x:v>Olympic Valley, California</x:v>
      </x:c>
      <x:c r="F51" s="4" t="str">
        <x:v>https://snowbrains.com</x:v>
      </x:c>
      <x:c r="G51" s="4" t="str">
        <x:v>N/A</x:v>
      </x:c>
      <x:c r="H51" s="4" t="str">
        <x:v>N/A</x:v>
      </x:c>
      <x:c r="I51" s="4" t="str">
        <x:v>Marketing / partnerships (routing request)</x:v>
      </x:c>
      <x:c r="J51" s="4" t="str">
        <x:v>contact@snowbrains.com</x:v>
      </x:c>
      <x:c r="K51" s="4" t="str">
        <x:v>N/A</x:v>
      </x:c>
      <x:c r="L51" s="4" t="str">
        <x:v>N/A</x:v>
      </x:c>
      <x:c r="M51" s="4" t="str">
        <x:v>https://snowbrains.com/contact/</x:v>
      </x:c>
      <x:c r="N51" s="4" t="str">
        <x:v>N/A</x:v>
      </x:c>
      <x:c r="O51" s="4" t="str">
        <x:v>A useful, honestly described camera finder for a short test or audience feedback session</x:v>
      </x:c>
      <x:c r="P51" s="4" t="str">
        <x:v>Earned referral traffic / audience learning; not immediate revenue</x:v>
      </x:c>
      <x:c r="Q51" s="4" t="str">
        <x:v>$0 editorial test; avoid paid-link purchase</x:v>
      </x:c>
      <x:c r="R51" s="4" t="str">
        <x:v>15–30% (subjective)</x:v>
      </x:c>
      <x:c r="S51" s="4" t="n">
        <x:v>2</x:v>
      </x:c>
      <x:c r="T51" s="12" t="n">
        <x:v>46303</x:v>
      </x:c>
      <x:c r="U51" s="12" t="n">
        <x:v>46310</x:v>
      </x:c>
      <x:c r="V51" s="4" t="str">
        <x:v>Research ready — reverify before send</x:v>
      </x:c>
      <x:c r="W51" s="4" t="str">
        <x:v>N/A</x:v>
      </x:c>
      <x:c r="X51" s="4" t="str">
        <x:v>Pitch a transparent Colorado camera-source audit and useful resource, not a fabricated launch success story.</x:v>
      </x:c>
      <x:c r="Y51" s="4" t="n">
        <x:v>4</x:v>
      </x:c>
      <x:c r="Z51" s="4" t="n">
        <x:v>5</x:v>
      </x:c>
      <x:c r="AA51" s="4" t="n">
        <x:v>2</x:v>
      </x:c>
      <x:c r="AB51" s="4" t="n">
        <x:v>3</x:v>
      </x:c>
      <x:c r="AC51" s="4" t="n">
        <x:v>4</x:v>
      </x:c>
      <x:c r="AD51" s="4" t="n">
        <x:f>Y51*Z51*AA51*AB51*AC51</x:f>
        <x:v>480</x:v>
      </x:c>
      <x:c r="AE51" s="4" t="n">
        <x:v>22</x:v>
      </x:c>
      <x:c r="AF51" s="4" t="str">
        <x:v>N/A</x:v>
      </x:c>
      <x:c r="AG51" s="4" t="str">
        <x:v>https://snowbrains.com/contact/</x:v>
      </x:c>
      <x:c r="AH51" s="4" t="str">
        <x:v>https://www.linkedin.com/company/snowbrains/</x:v>
      </x:c>
      <x:c r="AI51" s="12" t="n">
        <x:v>46274</x:v>
      </x:c>
      <x:c r="AJ51" s="4" t="str">
        <x:v>Public first-party business route researched; no delivery test or buyer authority confirmed</x:v>
      </x:c>
      <x:c r="AK51" s="4" t="str">
        <x:v>PeakCam × SnowBrains: small ski-season pilot</x:v>
      </x:c>
      <x:c r="AL51" s="4" t="str">
        <x:v>Hi SnowBrains team,
I’m Jared, building PeakCam (peakcam.io), a small mountain-camera finder starting with three Colorado resorts. Pitch a transparent Colorado camera-source audit and useful resource, not a fabricated launch success story.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2" ht="58" customHeight="1">
      <x:c r="A52" s="4" t="str">
        <x:v>PC-051</x:v>
      </x:c>
      <x:c r="B52" s="4" t="str">
        <x:v>P3 — later / discovery</x:v>
      </x:c>
      <x:c r="C52" s="4" t="str">
        <x:v>The Storm Skiing Journal and Podcast</x:v>
      </x:c>
      <x:c r="D52" s="4" t="str">
        <x:v>Ski newsletter / creator</x:v>
      </x:c>
      <x:c r="E52" s="4" t="str">
        <x:v>United States</x:v>
      </x:c>
      <x:c r="F52" s="4" t="str">
        <x:v>https://www.stormskiing.com</x:v>
      </x:c>
      <x:c r="G52" s="4" t="str">
        <x:v>Stuart Winchester</x:v>
      </x:c>
      <x:c r="H52" s="4" t="str">
        <x:v>Writer / host</x:v>
      </x:c>
      <x:c r="I52" s="4" t="str">
        <x:v>Marketing / partnerships (routing request)</x:v>
      </x:c>
      <x:c r="J52" s="4" t="str">
        <x:v>skiing@substack.com</x:v>
      </x:c>
      <x:c r="K52" s="4" t="str">
        <x:v>N/A</x:v>
      </x:c>
      <x:c r="L52" s="4" t="str">
        <x:v>N/A</x:v>
      </x:c>
      <x:c r="M52" s="4" t="str">
        <x:v>https://www.stormskiing.com/p/ask-me-anything</x:v>
      </x:c>
      <x:c r="N52" s="4" t="str">
        <x:v>N/A</x:v>
      </x:c>
      <x:c r="O52" s="4" t="str">
        <x:v>A useful, honestly described camera finder for a short test or audience feedback session</x:v>
      </x:c>
      <x:c r="P52" s="4" t="str">
        <x:v>Earned referral traffic / audience learning; not immediate revenue</x:v>
      </x:c>
      <x:c r="Q52" s="4" t="str">
        <x:v>$0 editorial test; avoid paid-link purchase</x:v>
      </x:c>
      <x:c r="R52" s="4" t="str">
        <x:v>15–30% (subjective)</x:v>
      </x:c>
      <x:c r="S52" s="4" t="n">
        <x:v>2</x:v>
      </x:c>
      <x:c r="T52" s="12" t="n">
        <x:v>46380</x:v>
      </x:c>
      <x:c r="U52" s="12" t="n">
        <x:v>46387</x:v>
      </x:c>
      <x:c r="V52" s="4" t="str">
        <x:v>Research ready — reverify before send</x:v>
      </x:c>
      <x:c r="W52" s="4" t="str">
        <x:v>Email published in a 2022 first-party post: stale-source flag, reverify via current publication profile before contact.</x:v>
      </x:c>
      <x:c r="X52" s="4" t="str">
        <x:v>Industry-focused perspective could validate whether independent resorts value referral distribution.</x:v>
      </x:c>
      <x:c r="Y52" s="4" t="n">
        <x:v>2</x:v>
      </x:c>
      <x:c r="Z52" s="4" t="n">
        <x:v>3</x:v>
      </x:c>
      <x:c r="AA52" s="4" t="n">
        <x:v>2</x:v>
      </x:c>
      <x:c r="AB52" s="4" t="n">
        <x:v>3</x:v>
      </x:c>
      <x:c r="AC52" s="4" t="n">
        <x:v>2</x:v>
      </x:c>
      <x:c r="AD52" s="4" t="n">
        <x:f>Y52*Z52*AA52*AB52*AC52</x:f>
        <x:v>72</x:v>
      </x:c>
      <x:c r="AE52" s="4" t="str">
        <x:v>N/A</x:v>
      </x:c>
      <x:c r="AF52" s="4" t="str">
        <x:v>N/A</x:v>
      </x:c>
      <x:c r="AG52" s="4" t="str">
        <x:v>https://www.stormskiing.com/p/ask-me-anything</x:v>
      </x:c>
      <x:c r="AH52" s="4" t="str">
        <x:v>N/A</x:v>
      </x:c>
      <x:c r="AI52" s="12" t="n">
        <x:v>46274</x:v>
      </x:c>
      <x:c r="AJ52" s="4" t="str">
        <x:v>Stale first-party source; reverify before sending</x:v>
      </x:c>
      <x:c r="AK52" s="4" t="str">
        <x:v>PeakCam × The Storm Skiing Journal and Podcast: small ski-season pilot</x:v>
      </x:c>
      <x:c r="AL52" s="4" t="str">
        <x:v>Hi Stuart,
I’m Jared, building PeakCam (peakcam.io), a small mountain-camera finder starting with three Colorado resorts. Industry-focused perspective could validate whether independent resorts value referral distribution.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3" ht="58" customHeight="1">
      <x:c r="A53" s="4" t="str">
        <x:v>PC-052</x:v>
      </x:c>
      <x:c r="B53" s="4" t="str">
        <x:v>P1 — First 25</x:v>
      </x:c>
      <x:c r="C53" s="4" t="str">
        <x:v>Uncover Colorado</x:v>
      </x:c>
      <x:c r="D53" s="4" t="str">
        <x:v>Regional publisher</x:v>
      </x:c>
      <x:c r="E53" s="4" t="str">
        <x:v>Denver, Colorado</x:v>
      </x:c>
      <x:c r="F53" s="4" t="str">
        <x:v>https://www.uncovercolorado.com</x:v>
      </x:c>
      <x:c r="G53" s="4" t="str">
        <x:v>N/A</x:v>
      </x:c>
      <x:c r="H53" s="4" t="str">
        <x:v>N/A</x:v>
      </x:c>
      <x:c r="I53" s="4" t="str">
        <x:v>Marketing / partnerships (routing request)</x:v>
      </x:c>
      <x:c r="J53" s="4" t="str">
        <x:v>info@uncovercolorado.com</x:v>
      </x:c>
      <x:c r="K53" s="4" t="str">
        <x:v>N/A</x:v>
      </x:c>
      <x:c r="L53" s="4" t="str">
        <x:v>720-446-8006</x:v>
      </x:c>
      <x:c r="M53" s="4" t="str">
        <x:v>https://www.uncovercolorado.com/contact/</x:v>
      </x:c>
      <x:c r="N53" s="4" t="str">
        <x:v>N/A</x:v>
      </x:c>
      <x:c r="O53" s="4" t="str">
        <x:v>A useful, honestly described camera finder for a short test or audience feedback session</x:v>
      </x:c>
      <x:c r="P53" s="4" t="str">
        <x:v>Earned referral traffic / audience learning; not immediate revenue</x:v>
      </x:c>
      <x:c r="Q53" s="4" t="str">
        <x:v>$0 editorial test; avoid paid-link purchase</x:v>
      </x:c>
      <x:c r="R53" s="4" t="str">
        <x:v>15–30% (subjective)</x:v>
      </x:c>
      <x:c r="S53" s="4" t="n">
        <x:v>2</x:v>
      </x:c>
      <x:c r="T53" s="12" t="n">
        <x:v>46303</x:v>
      </x:c>
      <x:c r="U53" s="12" t="n">
        <x:v>46310</x:v>
      </x:c>
      <x:c r="V53" s="4" t="str">
        <x:v>Research ready — reverify before send</x:v>
      </x:c>
      <x:c r="W53" s="4" t="str">
        <x:v>Advertising page excludes guest posts, product reviews and paid link placement. Do not pitch those.</x:v>
      </x:c>
      <x:c r="X53" s="4" t="str">
        <x:v>Regional discovery audience; ask for feedback on a useful camera directory after it has meaningful coverage.</x:v>
      </x:c>
      <x:c r="Y53" s="4" t="n">
        <x:v>4</x:v>
      </x:c>
      <x:c r="Z53" s="4" t="n">
        <x:v>5</x:v>
      </x:c>
      <x:c r="AA53" s="4" t="n">
        <x:v>2</x:v>
      </x:c>
      <x:c r="AB53" s="4" t="n">
        <x:v>3</x:v>
      </x:c>
      <x:c r="AC53" s="4" t="n">
        <x:v>4</x:v>
      </x:c>
      <x:c r="AD53" s="4" t="n">
        <x:f>Y53*Z53*AA53*AB53*AC53</x:f>
        <x:v>480</x:v>
      </x:c>
      <x:c r="AE53" s="4" t="n">
        <x:v>23</x:v>
      </x:c>
      <x:c r="AF53" s="4" t="str">
        <x:v>N/A</x:v>
      </x:c>
      <x:c r="AG53" s="4" t="str">
        <x:v>https://www.uncovercolorado.com/contact/</x:v>
      </x:c>
      <x:c r="AH53" s="4" t="str">
        <x:v>https://www.uncovercolorado.com/advertise-with-uncover-colorado/</x:v>
      </x:c>
      <x:c r="AI53" s="12" t="n">
        <x:v>46274</x:v>
      </x:c>
      <x:c r="AJ53" s="4" t="str">
        <x:v>Public first-party business route researched; no delivery test or buyer authority confirmed</x:v>
      </x:c>
      <x:c r="AK53" s="4" t="str">
        <x:v>PeakCam × Uncover Colorado: small ski-season pilot</x:v>
      </x:c>
      <x:c r="AL53" s="4" t="str">
        <x:v>Hi Uncover Colorado team,
I’m Jared, building PeakCam (peakcam.io), a small mountain-camera finder starting with three Colorado resorts. Regional discovery audience; ask for feedback on a useful camera directory after it has meaningful coverage.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4" ht="58" customHeight="1">
      <x:c r="A54" s="4" t="str">
        <x:v>PC-053</x:v>
      </x:c>
      <x:c r="B54" s="4" t="str">
        <x:v>P1 — First 25</x:v>
      </x:c>
      <x:c r="C54" s="4" t="str">
        <x:v>Glade Optics</x:v>
      </x:c>
      <x:c r="D54" s="4" t="str">
        <x:v>Outdoor brand</x:v>
      </x:c>
      <x:c r="E54" s="4" t="str">
        <x:v>Colorado, United States</x:v>
      </x:c>
      <x:c r="F54" s="4" t="str">
        <x:v>https://www.shopglade.com</x:v>
      </x:c>
      <x:c r="G54" s="4" t="str">
        <x:v>N/A</x:v>
      </x:c>
      <x:c r="H54" s="4" t="str">
        <x:v>N/A</x:v>
      </x:c>
      <x:c r="I54" s="4" t="str">
        <x:v>Marketing / partnerships (routing request)</x:v>
      </x:c>
      <x:c r="J54" s="4" t="str">
        <x:v>hello@gladeoptics.com</x:v>
      </x:c>
      <x:c r="K54" s="4" t="str">
        <x:v>N/A</x:v>
      </x:c>
      <x:c r="L54" s="4" t="str">
        <x:v>N/A</x:v>
      </x:c>
      <x:c r="M54" s="4" t="str">
        <x:v>https://www.shopglade.com/pages/contact-us</x:v>
      </x:c>
      <x:c r="N54" s="4" t="str">
        <x:v>N/A</x:v>
      </x:c>
      <x:c r="O54" s="4" t="str">
        <x:v>A small, clearly labeled Colorado ski-planning placement or an approved affiliate test</x:v>
      </x:c>
      <x:c r="P54" s="4" t="str">
        <x:v>Sponsor / affiliate only where approved</x:v>
      </x:c>
      <x:c r="Q54" s="4" t="str">
        <x:v>$100–300/month pilot if fit and real reach; otherwise $0</x:v>
      </x:c>
      <x:c r="R54" s="4" t="str">
        <x:v>5–15% (subjective)</x:v>
      </x:c>
      <x:c r="S54" s="4" t="n">
        <x:v>3</x:v>
      </x:c>
      <x:c r="T54" s="12" t="n">
        <x:v>46303</x:v>
      </x:c>
      <x:c r="U54" s="12" t="n">
        <x:v>46310</x:v>
      </x:c>
      <x:c r="V54" s="4" t="str">
        <x:v>Research ready — reverify before send</x:v>
      </x:c>
      <x:c r="W54" s="4" t="str">
        <x:v>Public rep program is not a verified publisher affiliate program; ask for the appropriate channel.</x:v>
      </x:c>
      <x:c r="X54" s="4" t="str">
        <x:v>Smaller ski-goggle brand with direct contact; propose a modest, clearly labeled regional test once usage exists.</x:v>
      </x:c>
      <x:c r="Y54" s="4" t="n">
        <x:v>4</x:v>
      </x:c>
      <x:c r="Z54" s="4" t="n">
        <x:v>5</x:v>
      </x:c>
      <x:c r="AA54" s="4" t="n">
        <x:v>3</x:v>
      </x:c>
      <x:c r="AB54" s="4" t="n">
        <x:v>3</x:v>
      </x:c>
      <x:c r="AC54" s="4" t="n">
        <x:v>4</x:v>
      </x:c>
      <x:c r="AD54" s="4" t="n">
        <x:f>Y54*Z54*AA54*AB54*AC54</x:f>
        <x:v>720</x:v>
      </x:c>
      <x:c r="AE54" s="4" t="n">
        <x:v>25</x:v>
      </x:c>
      <x:c r="AF54" s="4" t="str">
        <x:v>N/A</x:v>
      </x:c>
      <x:c r="AG54" s="4" t="str">
        <x:v>https://www.shopglade.com/pages/contact-us</x:v>
      </x:c>
      <x:c r="AH54" s="4" t="str">
        <x:v>https://www.shopglade.com/pages/become-a-rep</x:v>
      </x:c>
      <x:c r="AI54" s="12" t="n">
        <x:v>46274</x:v>
      </x:c>
      <x:c r="AJ54" s="4" t="str">
        <x:v>Public first-party business route researched; no delivery test or buyer authority confirmed</x:v>
      </x:c>
      <x:c r="AK54" s="4" t="str">
        <x:v>PeakCam × Glade Optics: small ski-season pilot</x:v>
      </x:c>
      <x:c r="AL54" s="4" t="str">
        <x:v>Hi Glade Optics team,
I’m Jared, the founder of PeakCam (peakcam.io), a small mountain-camera finder currently starting with three Colorado resorts. Smaller ski-goggle brand with direct contact; propose a modest, clearly labeled regional test once usage exists.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55" ht="58" customHeight="1">
      <x:c r="A55" s="4" t="str">
        <x:v>PC-054</x:v>
      </x:c>
      <x:c r="B55" s="4" t="str">
        <x:v>P1 — First 25</x:v>
      </x:c>
      <x:c r="C55" s="4" t="str">
        <x:v>PeakRankings</x:v>
      </x:c>
      <x:c r="D55" s="4" t="str">
        <x:v>Ski media / creator</x:v>
      </x:c>
      <x:c r="E55" s="4" t="str">
        <x:v>United States</x:v>
      </x:c>
      <x:c r="F55" s="4" t="str">
        <x:v>https://www.peakrankings.com</x:v>
      </x:c>
      <x:c r="G55" s="4" t="str">
        <x:v>Sam Weintraub</x:v>
      </x:c>
      <x:c r="H55" s="4" t="str">
        <x:v>Founder / Ranker-in-Chief</x:v>
      </x:c>
      <x:c r="I55" s="4" t="str">
        <x:v>Marketing / partnerships (routing request)</x:v>
      </x:c>
      <x:c r="J55" s="4" t="str">
        <x:v>sam@peakrankings.com</x:v>
      </x:c>
      <x:c r="K55" s="4" t="str">
        <x:v>N/A</x:v>
      </x:c>
      <x:c r="L55" s="4" t="str">
        <x:v>N/A</x:v>
      </x:c>
      <x:c r="M55" s="4" t="str">
        <x:v>https://www.peakrankings.com/about</x:v>
      </x:c>
      <x:c r="N55" s="4" t="str">
        <x:v>N/A</x:v>
      </x:c>
      <x:c r="O55" s="4" t="str">
        <x:v>A useful, honestly described camera finder for a short test or audience feedback session</x:v>
      </x:c>
      <x:c r="P55" s="4" t="str">
        <x:v>Earned referral traffic / audience learning; not immediate revenue</x:v>
      </x:c>
      <x:c r="Q55" s="4" t="str">
        <x:v>$0 editorial test; avoid paid-link purchase</x:v>
      </x:c>
      <x:c r="R55" s="4" t="str">
        <x:v>15–30% (subjective)</x:v>
      </x:c>
      <x:c r="S55" s="4" t="n">
        <x:v>2</x:v>
      </x:c>
      <x:c r="T55" s="12" t="n">
        <x:v>46303</x:v>
      </x:c>
      <x:c r="U55" s="12" t="n">
        <x:v>46310</x:v>
      </x:c>
      <x:c r="V55" s="4" t="str">
        <x:v>Research ready — reverify before send</x:v>
      </x:c>
      <x:c r="W55" s="4" t="str">
        <x:v>N/A</x:v>
      </x:c>
      <x:c r="X55" s="4" t="str">
        <x:v>Camera source reliability complements destination comparison content; ask for a critical product test, not endorsement.</x:v>
      </x:c>
      <x:c r="Y55" s="4" t="n">
        <x:v>4</x:v>
      </x:c>
      <x:c r="Z55" s="4" t="n">
        <x:v>5</x:v>
      </x:c>
      <x:c r="AA55" s="4" t="n">
        <x:v>2</x:v>
      </x:c>
      <x:c r="AB55" s="4" t="n">
        <x:v>3</x:v>
      </x:c>
      <x:c r="AC55" s="4" t="n">
        <x:v>4</x:v>
      </x:c>
      <x:c r="AD55" s="4" t="n">
        <x:f>Y55*Z55*AA55*AB55*AC55</x:f>
        <x:v>480</x:v>
      </x:c>
      <x:c r="AE55" s="4" t="n">
        <x:v>21</x:v>
      </x:c>
      <x:c r="AF55" s="4" t="str">
        <x:v>N/A</x:v>
      </x:c>
      <x:c r="AG55" s="4" t="str">
        <x:v>https://www.peakrankings.com/about</x:v>
      </x:c>
      <x:c r="AH55" s="4" t="str">
        <x:v>https://www.linkedin.com/in/sam-weintraub/</x:v>
      </x:c>
      <x:c r="AI55" s="12" t="n">
        <x:v>46274</x:v>
      </x:c>
      <x:c r="AJ55" s="4" t="str">
        <x:v>Public first-party business route researched; no delivery test or buyer authority confirmed</x:v>
      </x:c>
      <x:c r="AK55" s="4" t="str">
        <x:v>PeakCam × PeakRankings: small ski-season pilot</x:v>
      </x:c>
      <x:c r="AL55" s="4" t="str">
        <x:v>Hi Sam,
I’m Jared, building PeakCam (peakcam.io), a small mountain-camera finder starting with three Colorado resorts. Camera source reliability complements destination comparison content; ask for a critical product test, not endorsement.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6" ht="58" customHeight="1">
      <x:c r="A56" s="4" t="str">
        <x:v>PC-055</x:v>
      </x:c>
      <x:c r="B56" s="4" t="str">
        <x:v>P2 — after core proof</x:v>
      </x:c>
      <x:c r="C56" s="4" t="str">
        <x:v>Newschoolers</x:v>
      </x:c>
      <x:c r="D56" s="4" t="str">
        <x:v>Ski community / media</x:v>
      </x:c>
      <x:c r="E56" s="4" t="str">
        <x:v>United States</x:v>
      </x:c>
      <x:c r="F56" s="4" t="str">
        <x:v>https://www.newschoolers.com</x:v>
      </x:c>
      <x:c r="G56" s="4" t="str">
        <x:v>N/A</x:v>
      </x:c>
      <x:c r="H56" s="4" t="str">
        <x:v>N/A</x:v>
      </x:c>
      <x:c r="I56" s="4" t="str">
        <x:v>Marketing / partnerships (routing request)</x:v>
      </x:c>
      <x:c r="J56" s="4" t="str">
        <x:v>info@newschoolers.com</x:v>
      </x:c>
      <x:c r="K56" s="4" t="str">
        <x:v>N/A</x:v>
      </x:c>
      <x:c r="L56" s="4" t="str">
        <x:v>N/A</x:v>
      </x:c>
      <x:c r="M56" s="4" t="str">
        <x:v>https://www.newschoolers.com/advertise</x:v>
      </x:c>
      <x:c r="N56" s="4" t="str">
        <x:v>N/A</x:v>
      </x:c>
      <x:c r="O56" s="4" t="str">
        <x:v>A useful, honestly described camera finder for a short test or audience feedback session</x:v>
      </x:c>
      <x:c r="P56" s="4" t="str">
        <x:v>Earned referral traffic / audience learning; not immediate revenue</x:v>
      </x:c>
      <x:c r="Q56" s="4" t="str">
        <x:v>$0 editorial test; avoid paid-link purchase</x:v>
      </x:c>
      <x:c r="R56" s="4" t="str">
        <x:v>15–30% (subjective)</x:v>
      </x:c>
      <x:c r="S56" s="4" t="n">
        <x:v>2</x:v>
      </x:c>
      <x:c r="T56" s="12" t="n">
        <x:v>46380</x:v>
      </x:c>
      <x:c r="U56" s="12" t="n">
        <x:v>46387</x:v>
      </x:c>
      <x:c r="V56" s="4" t="str">
        <x:v>Research ready — reverify before send</x:v>
      </x:c>
      <x:c r="W56" s="4" t="str">
        <x:v>Advertising contact david@newschoolers.com; buying their ads is a cost, not PeakCam revenue.</x:v>
      </x:c>
      <x:c r="X56" s="4" t="str">
        <x:v>Freeskiing community; request moderator-approved feedback on a useful regional tool.</x:v>
      </x:c>
      <x:c r="Y56" s="4" t="n">
        <x:v>3</x:v>
      </x:c>
      <x:c r="Z56" s="4" t="n">
        <x:v>4</x:v>
      </x:c>
      <x:c r="AA56" s="4" t="n">
        <x:v>2</x:v>
      </x:c>
      <x:c r="AB56" s="4" t="n">
        <x:v>3</x:v>
      </x:c>
      <x:c r="AC56" s="4" t="n">
        <x:v>3</x:v>
      </x:c>
      <x:c r="AD56" s="4" t="n">
        <x:f>Y56*Z56*AA56*AB56*AC56</x:f>
        <x:v>216</x:v>
      </x:c>
      <x:c r="AE56" s="4" t="str">
        <x:v>N/A</x:v>
      </x:c>
      <x:c r="AF56" s="4" t="str">
        <x:v>N/A</x:v>
      </x:c>
      <x:c r="AG56" s="4" t="str">
        <x:v>https://www.newschoolers.com/advertise</x:v>
      </x:c>
      <x:c r="AH56" s="4" t="str">
        <x:v>https://www.newschoolers.com/contact</x:v>
      </x:c>
      <x:c r="AI56" s="12" t="n">
        <x:v>46274</x:v>
      </x:c>
      <x:c r="AJ56" s="4" t="str">
        <x:v>Public first-party business route researched; no delivery test or buyer authority confirmed</x:v>
      </x:c>
      <x:c r="AK56" s="4" t="str">
        <x:v>PeakCam × Newschoolers: small ski-season pilot</x:v>
      </x:c>
      <x:c r="AL56" s="4" t="str">
        <x:v>Hi Newschoolers team,
I’m Jared, building PeakCam (peakcam.io), a small mountain-camera finder starting with three Colorado resorts. Freeskiing community; request moderator-approved feedback on a useful regional tool.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7" ht="58" customHeight="1">
      <x:c r="A57" s="4" t="str">
        <x:v>PC-056</x:v>
      </x:c>
      <x:c r="B57" s="4" t="str">
        <x:v>P2 — after core proof</x:v>
      </x:c>
      <x:c r="C57" s="4" t="str">
        <x:v>FREESKIER / Storm Mountain Media</x:v>
      </x:c>
      <x:c r="D57" s="4" t="str">
        <x:v>Ski media</x:v>
      </x:c>
      <x:c r="E57" s="4" t="str">
        <x:v>Niwot, Colorado</x:v>
      </x:c>
      <x:c r="F57" s="4" t="str">
        <x:v>https://www.freeskier.com</x:v>
      </x:c>
      <x:c r="G57" s="4" t="str">
        <x:v>Philip Welsh</x:v>
      </x:c>
      <x:c r="H57" s="4" t="str">
        <x:v>Business development</x:v>
      </x:c>
      <x:c r="I57" s="4" t="str">
        <x:v>Marketing / partnerships (routing request)</x:v>
      </x:c>
      <x:c r="J57" s="4" t="str">
        <x:v>philip@stormmtn.com</x:v>
      </x:c>
      <x:c r="K57" s="4" t="str">
        <x:v>N/A</x:v>
      </x:c>
      <x:c r="L57" s="4" t="str">
        <x:v>303-834-9775</x:v>
      </x:c>
      <x:c r="M57" s="4" t="str">
        <x:v>https://www.freeskier.com/contact-us</x:v>
      </x:c>
      <x:c r="N57" s="4" t="str">
        <x:v>N/A</x:v>
      </x:c>
      <x:c r="O57" s="4" t="str">
        <x:v>A useful, honestly described camera finder for a short test or audience feedback session</x:v>
      </x:c>
      <x:c r="P57" s="4" t="str">
        <x:v>Earned referral traffic / audience learning; not immediate revenue</x:v>
      </x:c>
      <x:c r="Q57" s="4" t="str">
        <x:v>$0 editorial test; avoid paid-link purchase</x:v>
      </x:c>
      <x:c r="R57" s="4" t="str">
        <x:v>15–30% (subjective)</x:v>
      </x:c>
      <x:c r="S57" s="4" t="n">
        <x:v>2</x:v>
      </x:c>
      <x:c r="T57" s="12" t="n">
        <x:v>46387</x:v>
      </x:c>
      <x:c r="U57" s="12" t="n">
        <x:v>46394</x:v>
      </x:c>
      <x:c r="V57" s="4" t="str">
        <x:v>Research ready — reverify before send</x:v>
      </x:c>
      <x:c r="W57" s="4" t="str">
        <x:v>Editorial contact Lief Jordan, lief@freeskier.com; production melanie@stormmtn.com. Route by purpose.</x:v>
      </x:c>
      <x:c r="X57" s="4" t="str">
        <x:v>Colorado-focused media and brand relationships; editorial resource or small reciprocal content test.</x:v>
      </x:c>
      <x:c r="Y57" s="4" t="n">
        <x:v>3</x:v>
      </x:c>
      <x:c r="Z57" s="4" t="n">
        <x:v>4</x:v>
      </x:c>
      <x:c r="AA57" s="4" t="n">
        <x:v>2</x:v>
      </x:c>
      <x:c r="AB57" s="4" t="n">
        <x:v>3</x:v>
      </x:c>
      <x:c r="AC57" s="4" t="n">
        <x:v>3</x:v>
      </x:c>
      <x:c r="AD57" s="4" t="n">
        <x:f>Y57*Z57*AA57*AB57*AC57</x:f>
        <x:v>216</x:v>
      </x:c>
      <x:c r="AE57" s="4" t="str">
        <x:v>N/A</x:v>
      </x:c>
      <x:c r="AF57" s="4" t="str">
        <x:v>N/A</x:v>
      </x:c>
      <x:c r="AG57" s="4" t="str">
        <x:v>https://www.freeskier.com/contact-us</x:v>
      </x:c>
      <x:c r="AH57" s="4" t="str">
        <x:v>N/A</x:v>
      </x:c>
      <x:c r="AI57" s="12" t="n">
        <x:v>46274</x:v>
      </x:c>
      <x:c r="AJ57" s="4" t="str">
        <x:v>Public first-party business route researched; no delivery test or buyer authority confirmed</x:v>
      </x:c>
      <x:c r="AK57" s="4" t="str">
        <x:v>PeakCam × FREESKIER / Storm Mountain Media: small ski-season pilot</x:v>
      </x:c>
      <x:c r="AL57" s="4" t="str">
        <x:v>Hi Philip,
I’m Jared, building PeakCam (peakcam.io), a small mountain-camera finder starting with three Colorado resorts. Colorado-focused media and brand relationships; editorial resource or small reciprocal content test.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8" ht="58" customHeight="1">
      <x:c r="A58" s="4" t="str">
        <x:v>PC-057</x:v>
      </x:c>
      <x:c r="B58" s="4" t="str">
        <x:v>P2 — after core proof</x:v>
      </x:c>
      <x:c r="C58" s="4" t="str">
        <x:v>Summit Skier</x:v>
      </x:c>
      <x:c r="D58" s="4" t="str">
        <x:v>Niche ski publisher / creator</x:v>
      </x:c>
      <x:c r="E58" s="4" t="str">
        <x:v>United States</x:v>
      </x:c>
      <x:c r="F58" s="4" t="str">
        <x:v>https://summitskier.com</x:v>
      </x:c>
      <x:c r="G58" s="4" t="str">
        <x:v>Abby</x:v>
      </x:c>
      <x:c r="H58" s="4" t="str">
        <x:v>Public site contact</x:v>
      </x:c>
      <x:c r="I58" s="4" t="str">
        <x:v>Marketing / partnerships (routing request)</x:v>
      </x:c>
      <x:c r="J58" s="4" t="str">
        <x:v>abby@summitskier.com</x:v>
      </x:c>
      <x:c r="K58" s="4" t="str">
        <x:v>N/A</x:v>
      </x:c>
      <x:c r="L58" s="4" t="str">
        <x:v>N/A</x:v>
      </x:c>
      <x:c r="M58" s="4" t="str">
        <x:v>https://summitskier.com/contact-us/</x:v>
      </x:c>
      <x:c r="N58" s="4" t="str">
        <x:v>N/A</x:v>
      </x:c>
      <x:c r="O58" s="4" t="str">
        <x:v>A useful, honestly described camera finder for a short test or audience feedback session</x:v>
      </x:c>
      <x:c r="P58" s="4" t="str">
        <x:v>Earned referral traffic / audience learning; not immediate revenue</x:v>
      </x:c>
      <x:c r="Q58" s="4" t="str">
        <x:v>$0 editorial test; avoid paid-link purchase</x:v>
      </x:c>
      <x:c r="R58" s="4" t="str">
        <x:v>15–30% (subjective)</x:v>
      </x:c>
      <x:c r="S58" s="4" t="n">
        <x:v>2</x:v>
      </x:c>
      <x:c r="T58" s="12" t="n">
        <x:v>46387</x:v>
      </x:c>
      <x:c r="U58" s="12" t="n">
        <x:v>46394</x:v>
      </x:c>
      <x:c r="V58" s="4" t="str">
        <x:v>Research ready — reverify before send</x:v>
      </x:c>
      <x:c r="W58" s="4" t="str">
        <x:v>N/A</x:v>
      </x:c>
      <x:c r="X58" s="4" t="str">
        <x:v>Smaller ski-content creator suitable for candid product feedback and an optional permission-cleared camera guide.</x:v>
      </x:c>
      <x:c r="Y58" s="4" t="n">
        <x:v>3</x:v>
      </x:c>
      <x:c r="Z58" s="4" t="n">
        <x:v>4</x:v>
      </x:c>
      <x:c r="AA58" s="4" t="n">
        <x:v>2</x:v>
      </x:c>
      <x:c r="AB58" s="4" t="n">
        <x:v>3</x:v>
      </x:c>
      <x:c r="AC58" s="4" t="n">
        <x:v>3</x:v>
      </x:c>
      <x:c r="AD58" s="4" t="n">
        <x:f>Y58*Z58*AA58*AB58*AC58</x:f>
        <x:v>216</x:v>
      </x:c>
      <x:c r="AE58" s="4" t="str">
        <x:v>N/A</x:v>
      </x:c>
      <x:c r="AF58" s="4" t="str">
        <x:v>N/A</x:v>
      </x:c>
      <x:c r="AG58" s="4" t="str">
        <x:v>https://summitskier.com/contact-us/</x:v>
      </x:c>
      <x:c r="AH58" s="4" t="str">
        <x:v>N/A</x:v>
      </x:c>
      <x:c r="AI58" s="12" t="n">
        <x:v>46274</x:v>
      </x:c>
      <x:c r="AJ58" s="4" t="str">
        <x:v>Public first-party business route researched; no delivery test or buyer authority confirmed</x:v>
      </x:c>
      <x:c r="AK58" s="4" t="str">
        <x:v>PeakCam × Summit Skier: small ski-season pilot</x:v>
      </x:c>
      <x:c r="AL58" s="4" t="str">
        <x:v>Hi Abby,
I’m Jared, building PeakCam (peakcam.io), a small mountain-camera finder starting with three Colorado resorts. Smaller ski-content creator suitable for candid product feedback and an optional permission-cleared camera guide.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59" ht="58" customHeight="1">
      <x:c r="A59" s="4" t="str">
        <x:v>PC-058</x:v>
      </x:c>
      <x:c r="B59" s="4" t="str">
        <x:v>P1 — First 25</x:v>
      </x:c>
      <x:c r="C59" s="4" t="str">
        <x:v>Schussbaumer Ski Club</x:v>
      </x:c>
      <x:c r="D59" s="4" t="str">
        <x:v>Ski club</x:v>
      </x:c>
      <x:c r="E59" s="4" t="str">
        <x:v>Breckenridge, Colorado</x:v>
      </x:c>
      <x:c r="F59" s="4" t="str">
        <x:v>https://schuss.clubexpress.com</x:v>
      </x:c>
      <x:c r="G59" s="4" t="str">
        <x:v>Valerie Blanchenay</x:v>
      </x:c>
      <x:c r="H59" s="4" t="str">
        <x:v>Communications Coordinator</x:v>
      </x:c>
      <x:c r="I59" s="4" t="str">
        <x:v>Marketing / partnerships (routing request)</x:v>
      </x:c>
      <x:c r="J59" s="4" t="str">
        <x:v>N/A</x:v>
      </x:c>
      <x:c r="K59" s="4" t="str">
        <x:v>N/A</x:v>
      </x:c>
      <x:c r="L59" s="4" t="str">
        <x:v>970-453-9973</x:v>
      </x:c>
      <x:c r="M59" s="4" t="str">
        <x:v>https://schuss.clubexpress.com/content.aspx?club_id=942033&amp;page_id=4</x:v>
      </x:c>
      <x:c r="N59" s="4" t="str">
        <x:v>N/A</x:v>
      </x:c>
      <x:c r="O59" s="4" t="str">
        <x:v>A useful, honestly described camera finder for a short test or audience feedback session</x:v>
      </x:c>
      <x:c r="P59" s="4" t="str">
        <x:v>Earned referral traffic / audience learning; not immediate revenue</x:v>
      </x:c>
      <x:c r="Q59" s="4" t="str">
        <x:v>$0 editorial test; avoid paid-link purchase</x:v>
      </x:c>
      <x:c r="R59" s="4" t="str">
        <x:v>15–30% (subjective)</x:v>
      </x:c>
      <x:c r="S59" s="4" t="n">
        <x:v>2</x:v>
      </x:c>
      <x:c r="T59" s="12" t="n">
        <x:v>46303</x:v>
      </x:c>
      <x:c r="U59" s="12" t="n">
        <x:v>46310</x:v>
      </x:c>
      <x:c r="V59" s="4" t="str">
        <x:v>Research ready — reverify before send</x:v>
      </x:c>
      <x:c r="W59" s="4" t="str">
        <x:v>N/A</x:v>
      </x:c>
      <x:c r="X59" s="4" t="str">
        <x:v>Local repeat skiers can test whether the directory saves time; request five testers and one member-newsletter mention only after feedback.</x:v>
      </x:c>
      <x:c r="Y59" s="4" t="n">
        <x:v>3</x:v>
      </x:c>
      <x:c r="Z59" s="4" t="n">
        <x:v>5</x:v>
      </x:c>
      <x:c r="AA59" s="4" t="n">
        <x:v>2</x:v>
      </x:c>
      <x:c r="AB59" s="4" t="n">
        <x:v>3</x:v>
      </x:c>
      <x:c r="AC59" s="4" t="n">
        <x:v>4</x:v>
      </x:c>
      <x:c r="AD59" s="4" t="n">
        <x:f>Y59*Z59*AA59*AB59*AC59</x:f>
        <x:v>360</x:v>
      </x:c>
      <x:c r="AE59" s="4" t="n">
        <x:v>24</x:v>
      </x:c>
      <x:c r="AF59" s="4" t="str">
        <x:v>N/A</x:v>
      </x:c>
      <x:c r="AG59" s="4" t="str">
        <x:v>https://schuss.clubexpress.com/content.aspx?club_id=942033&amp;page_id=4</x:v>
      </x:c>
      <x:c r="AH59" s="4" t="str">
        <x:v>N/A</x:v>
      </x:c>
      <x:c r="AI59" s="12" t="n">
        <x:v>46274</x:v>
      </x:c>
      <x:c r="AJ59" s="4" t="str">
        <x:v>Public first-party business route researched; no delivery test or buyer authority confirmed</x:v>
      </x:c>
      <x:c r="AK59" s="4" t="str">
        <x:v>PeakCam × Schussbaumer Ski Club: small ski-season pilot</x:v>
      </x:c>
      <x:c r="AL59" s="4" t="str">
        <x:v>Hi Valerie,
I’m Jared, building PeakCam (peakcam.io), a small mountain-camera finder starting with three Colorado resorts. Local repeat skiers can test whether the directory saves time; request five testers and one member-newsletter mention only after feedback.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60" ht="58" customHeight="1">
      <x:c r="A60" s="4" t="str">
        <x:v>PC-059</x:v>
      </x:c>
      <x:c r="B60" s="4" t="str">
        <x:v>P2 — after core proof</x:v>
      </x:c>
      <x:c r="C60" s="4" t="str">
        <x:v>Colorado Mountain Club</x:v>
      </x:c>
      <x:c r="D60" s="4" t="str">
        <x:v>Outdoor / ski club</x:v>
      </x:c>
      <x:c r="E60" s="4" t="str">
        <x:v>Golden, Colorado</x:v>
      </x:c>
      <x:c r="F60" s="4" t="str">
        <x:v>https://www.cmc.org</x:v>
      </x:c>
      <x:c r="G60" s="4" t="str">
        <x:v>N/A</x:v>
      </x:c>
      <x:c r="H60" s="4" t="str">
        <x:v>N/A</x:v>
      </x:c>
      <x:c r="I60" s="4" t="str">
        <x:v>Marketing / partnerships (routing request)</x:v>
      </x:c>
      <x:c r="J60" s="4" t="str">
        <x:v>office@cmc.org</x:v>
      </x:c>
      <x:c r="K60" s="4" t="str">
        <x:v>N/A</x:v>
      </x:c>
      <x:c r="L60" s="4" t="str">
        <x:v>303-279-3080 x1</x:v>
      </x:c>
      <x:c r="M60" s="4" t="str">
        <x:v>https://www.cmc.org/view</x:v>
      </x:c>
      <x:c r="N60" s="4" t="str">
        <x:v>N/A</x:v>
      </x:c>
      <x:c r="O60" s="4" t="str">
        <x:v>A useful, honestly described camera finder for a short test or audience feedback session</x:v>
      </x:c>
      <x:c r="P60" s="4" t="str">
        <x:v>Earned referral traffic / audience learning; not immediate revenue</x:v>
      </x:c>
      <x:c r="Q60" s="4" t="str">
        <x:v>$0 editorial test; avoid paid-link purchase</x:v>
      </x:c>
      <x:c r="R60" s="4" t="str">
        <x:v>15–30% (subjective)</x:v>
      </x:c>
      <x:c r="S60" s="4" t="n">
        <x:v>2</x:v>
      </x:c>
      <x:c r="T60" s="12" t="n">
        <x:v>46387</x:v>
      </x:c>
      <x:c r="U60" s="12" t="n">
        <x:v>46394</x:v>
      </x:c>
      <x:c r="V60" s="4" t="str">
        <x:v>Research ready — reverify before send</x:v>
      </x:c>
      <x:c r="W60" s="4" t="str">
        <x:v>N/A</x:v>
      </x:c>
      <x:c r="X60" s="4" t="str">
        <x:v>Recruit ski-outing participants for usability interviews; emphasize resort viewing, not backcountry safety advice.</x:v>
      </x:c>
      <x:c r="Y60" s="4" t="n">
        <x:v>3</x:v>
      </x:c>
      <x:c r="Z60" s="4" t="n">
        <x:v>4</x:v>
      </x:c>
      <x:c r="AA60" s="4" t="n">
        <x:v>2</x:v>
      </x:c>
      <x:c r="AB60" s="4" t="n">
        <x:v>3</x:v>
      </x:c>
      <x:c r="AC60" s="4" t="n">
        <x:v>3</x:v>
      </x:c>
      <x:c r="AD60" s="4" t="n">
        <x:f>Y60*Z60*AA60*AB60*AC60</x:f>
        <x:v>216</x:v>
      </x:c>
      <x:c r="AE60" s="4" t="str">
        <x:v>N/A</x:v>
      </x:c>
      <x:c r="AF60" s="4" t="str">
        <x:v>N/A</x:v>
      </x:c>
      <x:c r="AG60" s="4" t="str">
        <x:v>https://www.cmc.org/view</x:v>
      </x:c>
      <x:c r="AH60" s="4" t="str">
        <x:v>N/A</x:v>
      </x:c>
      <x:c r="AI60" s="12" t="n">
        <x:v>46274</x:v>
      </x:c>
      <x:c r="AJ60" s="4" t="str">
        <x:v>Public first-party business route researched; no delivery test or buyer authority confirmed</x:v>
      </x:c>
      <x:c r="AK60" s="4" t="str">
        <x:v>PeakCam × Colorado Mountain Club: small ski-season pilot</x:v>
      </x:c>
      <x:c r="AL60" s="4" t="str">
        <x:v>Hi Colorado Mountain Club team,
I’m Jared, building PeakCam (peakcam.io), a small mountain-camera finder starting with three Colorado resorts. Recruit ski-outing participants for usability interviews; emphasize resort viewing, not backcountry safety advice.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61" ht="58" customHeight="1">
      <x:c r="A61" s="4" t="str">
        <x:v>PC-060</x:v>
      </x:c>
      <x:c r="B61" s="4" t="str">
        <x:v>P3 — later / discovery</x:v>
      </x:c>
      <x:c r="C61" s="4" t="str">
        <x:v>Freeskier Society</x:v>
      </x:c>
      <x:c r="D61" s="4" t="str">
        <x:v>Ski community</x:v>
      </x:c>
      <x:c r="E61" s="4" t="str">
        <x:v>N/A</x:v>
      </x:c>
      <x:c r="F61" s="4" t="str">
        <x:v>https://www.freeskiersociety.com</x:v>
      </x:c>
      <x:c r="G61" s="4" t="str">
        <x:v>N/A</x:v>
      </x:c>
      <x:c r="H61" s="4" t="str">
        <x:v>N/A</x:v>
      </x:c>
      <x:c r="I61" s="4" t="str">
        <x:v>Marketing / partnerships (routing request)</x:v>
      </x:c>
      <x:c r="J61" s="4" t="str">
        <x:v>info@freeskiersociety.com</x:v>
      </x:c>
      <x:c r="K61" s="4" t="str">
        <x:v>N/A</x:v>
      </x:c>
      <x:c r="L61" s="4" t="str">
        <x:v>N/A</x:v>
      </x:c>
      <x:c r="M61" s="4" t="str">
        <x:v>https://www.freeskiersociety.com/new-page</x:v>
      </x:c>
      <x:c r="N61" s="4" t="str">
        <x:v>N/A</x:v>
      </x:c>
      <x:c r="O61" s="4" t="str">
        <x:v>A useful, honestly described camera finder for a short test or audience feedback session</x:v>
      </x:c>
      <x:c r="P61" s="4" t="str">
        <x:v>Earned referral traffic / audience learning; not immediate revenue</x:v>
      </x:c>
      <x:c r="Q61" s="4" t="str">
        <x:v>$0 editorial test; avoid paid-link purchase</x:v>
      </x:c>
      <x:c r="R61" s="4" t="str">
        <x:v>15–30% (subjective)</x:v>
      </x:c>
      <x:c r="S61" s="4" t="n">
        <x:v>2</x:v>
      </x:c>
      <x:c r="T61" s="12" t="n">
        <x:v>46387</x:v>
      </x:c>
      <x:c r="U61" s="12" t="n">
        <x:v>46394</x:v>
      </x:c>
      <x:c r="V61" s="4" t="str">
        <x:v>Research ready — reverify before send</x:v>
      </x:c>
      <x:c r="W61" s="4" t="str">
        <x:v>N/A</x:v>
      </x:c>
      <x:c r="X61" s="4" t="str">
        <x:v>Community product testing and creator feedback; establish geographic fit before asking for distribution.</x:v>
      </x:c>
      <x:c r="Y61" s="4" t="n">
        <x:v>2</x:v>
      </x:c>
      <x:c r="Z61" s="4" t="n">
        <x:v>3</x:v>
      </x:c>
      <x:c r="AA61" s="4" t="n">
        <x:v>2</x:v>
      </x:c>
      <x:c r="AB61" s="4" t="n">
        <x:v>3</x:v>
      </x:c>
      <x:c r="AC61" s="4" t="n">
        <x:v>2</x:v>
      </x:c>
      <x:c r="AD61" s="4" t="n">
        <x:f>Y61*Z61*AA61*AB61*AC61</x:f>
        <x:v>72</x:v>
      </x:c>
      <x:c r="AE61" s="4" t="str">
        <x:v>N/A</x:v>
      </x:c>
      <x:c r="AF61" s="4" t="str">
        <x:v>N/A</x:v>
      </x:c>
      <x:c r="AG61" s="4" t="str">
        <x:v>https://www.freeskiersociety.com/new-page</x:v>
      </x:c>
      <x:c r="AH61" s="4" t="str">
        <x:v>N/A</x:v>
      </x:c>
      <x:c r="AI61" s="12" t="n">
        <x:v>46274</x:v>
      </x:c>
      <x:c r="AJ61" s="4" t="str">
        <x:v>Public first-party business route researched; no delivery test or buyer authority confirmed</x:v>
      </x:c>
      <x:c r="AK61" s="4" t="str">
        <x:v>PeakCam × Freeskier Society: small ski-season pilot</x:v>
      </x:c>
      <x:c r="AL61" s="4" t="str">
        <x:v>Hi Freeskier Society team,
I’m Jared, building PeakCam (peakcam.io), a small mountain-camera finder starting with three Colorado resorts. Community product testing and creator feedback; establish geographic fit before asking for distribution.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62" ht="58" customHeight="1">
      <x:c r="A62" s="4" t="str">
        <x:v>PC-061</x:v>
      </x:c>
      <x:c r="B62" s="4" t="str">
        <x:v>P3 — later / discovery</x:v>
      </x:c>
      <x:c r="C62" s="4" t="str">
        <x:v>Ski &amp; Snowboard Club Vail</x:v>
      </x:c>
      <x:c r="D62" s="4" t="str">
        <x:v>Ski club</x:v>
      </x:c>
      <x:c r="E62" s="4" t="str">
        <x:v>Vail, Colorado</x:v>
      </x:c>
      <x:c r="F62" s="4" t="str">
        <x:v>https://skiclubvail.org</x:v>
      </x:c>
      <x:c r="G62" s="4" t="str">
        <x:v>N/A</x:v>
      </x:c>
      <x:c r="H62" s="4" t="str">
        <x:v>N/A</x:v>
      </x:c>
      <x:c r="I62" s="4" t="str">
        <x:v>Marketing / partnerships (routing request)</x:v>
      </x:c>
      <x:c r="J62" s="4" t="str">
        <x:v>N/A</x:v>
      </x:c>
      <x:c r="K62" s="4" t="str">
        <x:v>N/A</x:v>
      </x:c>
      <x:c r="L62" s="4" t="str">
        <x:v>970-476-5119</x:v>
      </x:c>
      <x:c r="M62" s="4" t="str">
        <x:v>https://discovervail.com/businesses/ski-snowboard-club-vail/</x:v>
      </x:c>
      <x:c r="N62" s="4" t="str">
        <x:v>N/A</x:v>
      </x:c>
      <x:c r="O62" s="4" t="str">
        <x:v>A useful, honestly described camera finder for a short test or audience feedback session</x:v>
      </x:c>
      <x:c r="P62" s="4" t="str">
        <x:v>Earned referral traffic / audience learning; not immediate revenue</x:v>
      </x:c>
      <x:c r="Q62" s="4" t="str">
        <x:v>$0 editorial test; avoid paid-link purchase</x:v>
      </x:c>
      <x:c r="R62" s="4" t="str">
        <x:v>15–30% (subjective)</x:v>
      </x:c>
      <x:c r="S62" s="4" t="n">
        <x:v>2</x:v>
      </x:c>
      <x:c r="T62" s="12" t="n">
        <x:v>46394</x:v>
      </x:c>
      <x:c r="U62" s="12" t="n">
        <x:v>46401</x:v>
      </x:c>
      <x:c r="V62" s="4" t="str">
        <x:v>Research ready — reverify before send</x:v>
      </x:c>
      <x:c r="W62" s="4" t="str">
        <x:v>Use current destination-directory phone; old published email deliberately omitted.</x:v>
      </x:c>
      <x:c r="X62" s="4" t="str">
        <x:v>Family and competition-trip use cases; request adult staff feedback, not outreach to children.</x:v>
      </x:c>
      <x:c r="Y62" s="4" t="n">
        <x:v>2</x:v>
      </x:c>
      <x:c r="Z62" s="4" t="n">
        <x:v>3</x:v>
      </x:c>
      <x:c r="AA62" s="4" t="n">
        <x:v>2</x:v>
      </x:c>
      <x:c r="AB62" s="4" t="n">
        <x:v>3</x:v>
      </x:c>
      <x:c r="AC62" s="4" t="n">
        <x:v>2</x:v>
      </x:c>
      <x:c r="AD62" s="4" t="n">
        <x:f>Y62*Z62*AA62*AB62*AC62</x:f>
        <x:v>72</x:v>
      </x:c>
      <x:c r="AE62" s="4" t="str">
        <x:v>N/A</x:v>
      </x:c>
      <x:c r="AF62" s="4" t="str">
        <x:v>N/A</x:v>
      </x:c>
      <x:c r="AG62" s="4" t="str">
        <x:v>https://discovervail.com/businesses/ski-snowboard-club-vail/</x:v>
      </x:c>
      <x:c r="AH62" s="4" t="str">
        <x:v>N/A</x:v>
      </x:c>
      <x:c r="AI62" s="12" t="n">
        <x:v>46274</x:v>
      </x:c>
      <x:c r="AJ62" s="4" t="str">
        <x:v>Public directory/business-profile route; reverify with organization</x:v>
      </x:c>
      <x:c r="AK62" s="4" t="str">
        <x:v>PeakCam × Ski &amp; Snowboard Club Vail: small ski-season pilot</x:v>
      </x:c>
      <x:c r="AL62" s="4" t="str">
        <x:v>Hi Ski &amp; Snowboard Club Vail team,
I’m Jared, building PeakCam (peakcam.io), a small mountain-camera finder starting with three Colorado resorts. Family and competition-trip use cases; request adult staff feedback, not outreach to children.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row>
    <x:row r="63" ht="58" customHeight="1">
      <x:c r="A63" s="4" t="str">
        <x:v>PC-062</x:v>
      </x:c>
      <x:c r="B63" s="4" t="str">
        <x:v>P2 — after core proof</x:v>
      </x:c>
      <x:c r="C63" s="4" t="str">
        <x:v>Visit Park City</x:v>
      </x:c>
      <x:c r="D63" s="4" t="str">
        <x:v>Tourism / DMO</x:v>
      </x:c>
      <x:c r="E63" s="4" t="str">
        <x:v>Park City, Utah</x:v>
      </x:c>
      <x:c r="F63" s="4" t="str">
        <x:v>https://www.visitparkcity.com</x:v>
      </x:c>
      <x:c r="G63" s="4" t="str">
        <x:v>Courtney Ryan</x:v>
      </x:c>
      <x:c r="H63" s="4" t="str">
        <x:v>Communications Manager</x:v>
      </x:c>
      <x:c r="I63" s="4" t="str">
        <x:v>Marketing / partnerships (routing request)</x:v>
      </x:c>
      <x:c r="J63" s="4" t="str">
        <x:v>CourtneyRyan@VisitParkCity.com</x:v>
      </x:c>
      <x:c r="K63" s="4" t="str">
        <x:v>N/A</x:v>
      </x:c>
      <x:c r="L63" s="4" t="str">
        <x:v>435-658-9602</x:v>
      </x:c>
      <x:c r="M63" s="4" t="str">
        <x:v>https://www.visitparkcity.com/media/</x:v>
      </x:c>
      <x:c r="N63" s="4" t="str">
        <x:v>N/A</x:v>
      </x:c>
      <x:c r="O63" s="4" t="str">
        <x:v>A concise, source-credited destination camera guide and trackable referral pilot</x:v>
      </x:c>
      <x:c r="P63" s="4" t="str">
        <x:v>Distribution/permissions first; destination sponsorship later</x:v>
      </x:c>
      <x:c r="Q63" s="4" t="str">
        <x:v>$0 pilot; $250–750/month hypothetical later</x:v>
      </x:c>
      <x:c r="R63" s="4" t="str">
        <x:v>8–20% (subjective)</x:v>
      </x:c>
      <x:c r="S63" s="4" t="n">
        <x:v>3</x:v>
      </x:c>
      <x:c r="T63" s="12" t="n">
        <x:v>46394</x:v>
      </x:c>
      <x:c r="U63" s="12" t="n">
        <x:v>46401</x:v>
      </x:c>
      <x:c r="V63" s="4" t="str">
        <x:v>Research ready — reverify before send</x:v>
      </x:c>
      <x:c r="W63" s="4" t="str">
        <x:v>Additional public route Dan Howard, VP Sales/Communications, Dan@VisitParkCity.com, 435-658-9609.</x:v>
      </x:c>
      <x:c r="X63" s="4" t="str">
        <x:v>Later destination pilot combining resort camera links and pre-arrival lodging communications.</x:v>
      </x:c>
      <x:c r="Y63" s="4" t="n">
        <x:v>3</x:v>
      </x:c>
      <x:c r="Z63" s="4" t="n">
        <x:v>4</x:v>
      </x:c>
      <x:c r="AA63" s="4" t="n">
        <x:v>3</x:v>
      </x:c>
      <x:c r="AB63" s="4" t="n">
        <x:v>3</x:v>
      </x:c>
      <x:c r="AC63" s="4" t="n">
        <x:v>3</x:v>
      </x:c>
      <x:c r="AD63" s="4" t="n">
        <x:f>Y63*Z63*AA63*AB63*AC63</x:f>
        <x:v>324</x:v>
      </x:c>
      <x:c r="AE63" s="4" t="str">
        <x:v>N/A</x:v>
      </x:c>
      <x:c r="AF63" s="4" t="str">
        <x:v>N/A</x:v>
      </x:c>
      <x:c r="AG63" s="4" t="str">
        <x:v>https://www.visitparkcity.com/media/</x:v>
      </x:c>
      <x:c r="AH63" s="4" t="str">
        <x:v>N/A</x:v>
      </x:c>
      <x:c r="AI63" s="12" t="n">
        <x:v>46274</x:v>
      </x:c>
      <x:c r="AJ63" s="4" t="str">
        <x:v>Public first-party business route researched; no delivery test or buyer authority confirmed</x:v>
      </x:c>
      <x:c r="AK63" s="4" t="str">
        <x:v>PeakCam × Visit Park City: small ski-season pilot</x:v>
      </x:c>
      <x:c r="AL63" s="4" t="str">
        <x:v>Hi Courtney,
I’m Jared, the founder of PeakCam (peakcam.io), a small mountain-camera finder currently starting with three Colorado resorts. Later destination pilot combining resort camera links and pre-arrival lodging communications.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4" ht="58" customHeight="1">
      <x:c r="A64" s="4" t="str">
        <x:v>PC-063</x:v>
      </x:c>
      <x:c r="B64" s="4" t="str">
        <x:v>P2 — after core proof</x:v>
      </x:c>
      <x:c r="C64" s="4" t="str">
        <x:v>Steamboat Springs Chamber</x:v>
      </x:c>
      <x:c r="D64" s="4" t="str">
        <x:v>Tourism / DMO</x:v>
      </x:c>
      <x:c r="E64" s="4" t="str">
        <x:v>Steamboat Springs, Colorado</x:v>
      </x:c>
      <x:c r="F64" s="4" t="str">
        <x:v>https://www.steamboatchamber.com</x:v>
      </x:c>
      <x:c r="G64" s="4" t="str">
        <x:v>Laura Soard</x:v>
      </x:c>
      <x:c r="H64" s="4" t="str">
        <x:v>Senior Director of Marketing &amp; Communications</x:v>
      </x:c>
      <x:c r="I64" s="4" t="str">
        <x:v>Marketing / partnerships (routing request)</x:v>
      </x:c>
      <x:c r="J64" s="4" t="str">
        <x:v>info@steamboatchamber.com</x:v>
      </x:c>
      <x:c r="K64" s="4" t="str">
        <x:v>N/A</x:v>
      </x:c>
      <x:c r="L64" s="4" t="str">
        <x:v>970-875-7002</x:v>
      </x:c>
      <x:c r="M64" s="4" t="str">
        <x:v>https://www.steamboatchamber.com/about-us/board-staff/</x:v>
      </x:c>
      <x:c r="N64" s="4" t="str">
        <x:v>N/A</x:v>
      </x:c>
      <x:c r="O64" s="4" t="str">
        <x:v>A concise, source-credited destination camera guide and trackable referral pilot</x:v>
      </x:c>
      <x:c r="P64" s="4" t="str">
        <x:v>Distribution/permissions first; destination sponsorship later</x:v>
      </x:c>
      <x:c r="Q64" s="4" t="str">
        <x:v>$0 pilot; $250–750/month hypothetical later</x:v>
      </x:c>
      <x:c r="R64" s="4" t="str">
        <x:v>8–20% (subjective)</x:v>
      </x:c>
      <x:c r="S64" s="4" t="n">
        <x:v>3</x:v>
      </x:c>
      <x:c r="T64" s="12" t="n">
        <x:v>46394</x:v>
      </x:c>
      <x:c r="U64" s="12" t="n">
        <x:v>46401</x:v>
      </x:c>
      <x:c r="V64" s="4" t="str">
        <x:v>Research ready — reverify before send</x:v>
      </x:c>
      <x:c r="W64" s="4" t="str">
        <x:v>N/A</x:v>
      </x:c>
      <x:c r="X64" s="4" t="str">
        <x:v>A later Colorado destination cluster with lodging, rentals and concierge distribution.</x:v>
      </x:c>
      <x:c r="Y64" s="4" t="n">
        <x:v>3</x:v>
      </x:c>
      <x:c r="Z64" s="4" t="n">
        <x:v>4</x:v>
      </x:c>
      <x:c r="AA64" s="4" t="n">
        <x:v>3</x:v>
      </x:c>
      <x:c r="AB64" s="4" t="n">
        <x:v>3</x:v>
      </x:c>
      <x:c r="AC64" s="4" t="n">
        <x:v>3</x:v>
      </x:c>
      <x:c r="AD64" s="4" t="n">
        <x:f>Y64*Z64*AA64*AB64*AC64</x:f>
        <x:v>324</x:v>
      </x:c>
      <x:c r="AE64" s="4" t="str">
        <x:v>N/A</x:v>
      </x:c>
      <x:c r="AF64" s="4" t="str">
        <x:v>N/A</x:v>
      </x:c>
      <x:c r="AG64" s="4" t="str">
        <x:v>https://www.steamboatchamber.com/about-us/board-staff/</x:v>
      </x:c>
      <x:c r="AH64" s="4" t="str">
        <x:v>N/A</x:v>
      </x:c>
      <x:c r="AI64" s="12" t="n">
        <x:v>46274</x:v>
      </x:c>
      <x:c r="AJ64" s="4" t="str">
        <x:v>Public first-party business route researched; no delivery test or buyer authority confirmed</x:v>
      </x:c>
      <x:c r="AK64" s="4" t="str">
        <x:v>PeakCam × Steamboat Springs Chamber: small ski-season pilot</x:v>
      </x:c>
      <x:c r="AL64" s="4" t="str">
        <x:v>Hi Laura,
I’m Jared, the founder of PeakCam (peakcam.io), a small mountain-camera finder currently starting with three Colorado resorts. A later Colorado destination cluster with lodging, rentals and concierge distribution.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5" ht="58" customHeight="1">
      <x:c r="A65" s="4" t="str">
        <x:v>PC-064</x:v>
      </x:c>
      <x:c r="B65" s="4" t="str">
        <x:v>P2 — after core proof</x:v>
      </x:c>
      <x:c r="C65" s="4" t="str">
        <x:v>Jackson Hole Chamber of Commerce</x:v>
      </x:c>
      <x:c r="D65" s="4" t="str">
        <x:v>Tourism / DMO</x:v>
      </x:c>
      <x:c r="E65" s="4" t="str">
        <x:v>Jackson, Wyoming</x:v>
      </x:c>
      <x:c r="F65" s="4" t="str">
        <x:v>https://www.jacksonholechamber.com</x:v>
      </x:c>
      <x:c r="G65" s="4" t="str">
        <x:v>Andrew Kruger</x:v>
      </x:c>
      <x:c r="H65" s="4" t="str">
        <x:v>Communications &amp; Events Manager</x:v>
      </x:c>
      <x:c r="I65" s="4" t="str">
        <x:v>Marketing / partnerships (routing request)</x:v>
      </x:c>
      <x:c r="J65" s="4" t="str">
        <x:v>Andrew@jacksonholechamber.com</x:v>
      </x:c>
      <x:c r="K65" s="4" t="str">
        <x:v>N/A</x:v>
      </x:c>
      <x:c r="L65" s="4" t="str">
        <x:v>307-201-2304</x:v>
      </x:c>
      <x:c r="M65" s="4" t="str">
        <x:v>https://www.jacksonholechamber.com/about-us/chamber-staff/</x:v>
      </x:c>
      <x:c r="N65" s="4" t="str">
        <x:v>N/A</x:v>
      </x:c>
      <x:c r="O65" s="4" t="str">
        <x:v>A concise, source-credited destination camera guide and trackable referral pilot</x:v>
      </x:c>
      <x:c r="P65" s="4" t="str">
        <x:v>Distribution/permissions first; destination sponsorship later</x:v>
      </x:c>
      <x:c r="Q65" s="4" t="str">
        <x:v>$0 pilot; $250–750/month hypothetical later</x:v>
      </x:c>
      <x:c r="R65" s="4" t="str">
        <x:v>8–20% (subjective)</x:v>
      </x:c>
      <x:c r="S65" s="4" t="n">
        <x:v>3</x:v>
      </x:c>
      <x:c r="T65" s="12" t="n">
        <x:v>46394</x:v>
      </x:c>
      <x:c r="U65" s="12" t="n">
        <x:v>46401</x:v>
      </x:c>
      <x:c r="V65" s="4" t="str">
        <x:v>Research ready — reverify before send</x:v>
      </x:c>
      <x:c r="W65" s="4" t="str">
        <x:v>N/A</x:v>
      </x:c>
      <x:c r="X65" s="4" t="str">
        <x:v>Later high-intent trip-planning referrals and a visitor-facing camera-source guide.</x:v>
      </x:c>
      <x:c r="Y65" s="4" t="n">
        <x:v>3</x:v>
      </x:c>
      <x:c r="Z65" s="4" t="n">
        <x:v>4</x:v>
      </x:c>
      <x:c r="AA65" s="4" t="n">
        <x:v>3</x:v>
      </x:c>
      <x:c r="AB65" s="4" t="n">
        <x:v>3</x:v>
      </x:c>
      <x:c r="AC65" s="4" t="n">
        <x:v>3</x:v>
      </x:c>
      <x:c r="AD65" s="4" t="n">
        <x:f>Y65*Z65*AA65*AB65*AC65</x:f>
        <x:v>324</x:v>
      </x:c>
      <x:c r="AE65" s="4" t="str">
        <x:v>N/A</x:v>
      </x:c>
      <x:c r="AF65" s="4" t="str">
        <x:v>N/A</x:v>
      </x:c>
      <x:c r="AG65" s="4" t="str">
        <x:v>https://www.jacksonholechamber.com/about-us/chamber-staff/</x:v>
      </x:c>
      <x:c r="AH65" s="4" t="str">
        <x:v>N/A</x:v>
      </x:c>
      <x:c r="AI65" s="12" t="n">
        <x:v>46274</x:v>
      </x:c>
      <x:c r="AJ65" s="4" t="str">
        <x:v>Public first-party business route researched; no delivery test or buyer authority confirmed</x:v>
      </x:c>
      <x:c r="AK65" s="4" t="str">
        <x:v>PeakCam × Jackson Hole Chamber of Commerce: small ski-season pilot</x:v>
      </x:c>
      <x:c r="AL65" s="4" t="str">
        <x:v>Hi Andrew,
I’m Jared, the founder of PeakCam (peakcam.io), a small mountain-camera finder currently starting with three Colorado resorts. Later high-intent trip-planning referrals and a visitor-facing camera-source guide.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6" ht="58" customHeight="1">
      <x:c r="A66" s="4" t="str">
        <x:v>PC-065</x:v>
      </x:c>
      <x:c r="B66" s="4" t="str">
        <x:v>P2 — after core proof</x:v>
      </x:c>
      <x:c r="C66" s="4" t="str">
        <x:v>Ski Vermont</x:v>
      </x:c>
      <x:c r="D66" s="4" t="str">
        <x:v>Tourism / ski association</x:v>
      </x:c>
      <x:c r="E66" s="4" t="str">
        <x:v>Montpelier, Vermont</x:v>
      </x:c>
      <x:c r="F66" s="4" t="str">
        <x:v>https://skivermont.com</x:v>
      </x:c>
      <x:c r="G66" s="4" t="str">
        <x:v>N/A</x:v>
      </x:c>
      <x:c r="H66" s="4" t="str">
        <x:v>N/A</x:v>
      </x:c>
      <x:c r="I66" s="4" t="str">
        <x:v>Marketing / partnerships (routing request)</x:v>
      </x:c>
      <x:c r="J66" s="4" t="str">
        <x:v>info@skivermont.com</x:v>
      </x:c>
      <x:c r="K66" s="4" t="str">
        <x:v>N/A</x:v>
      </x:c>
      <x:c r="L66" s="4" t="str">
        <x:v>802-223-2439</x:v>
      </x:c>
      <x:c r="M66" s="4" t="str">
        <x:v>https://skivermont.com/contact</x:v>
      </x:c>
      <x:c r="N66" s="4" t="str">
        <x:v>N/A</x:v>
      </x:c>
      <x:c r="O66" s="4" t="str">
        <x:v>A concise, source-credited destination camera guide and trackable referral pilot</x:v>
      </x:c>
      <x:c r="P66" s="4" t="str">
        <x:v>Distribution/permissions first; destination sponsorship later</x:v>
      </x:c>
      <x:c r="Q66" s="4" t="str">
        <x:v>$0 pilot; $250–750/month hypothetical later</x:v>
      </x:c>
      <x:c r="R66" s="4" t="str">
        <x:v>8–20% (subjective)</x:v>
      </x:c>
      <x:c r="S66" s="4" t="n">
        <x:v>3</x:v>
      </x:c>
      <x:c r="T66" s="12" t="n">
        <x:v>46394</x:v>
      </x:c>
      <x:c r="U66" s="12" t="n">
        <x:v>46401</x:v>
      </x:c>
      <x:c r="V66" s="4" t="str">
        <x:v>Research ready — reverify before send</x:v>
      </x:c>
      <x:c r="W66" s="4" t="str">
        <x:v>N/A</x:v>
      </x:c>
      <x:c r="X66" s="4" t="str">
        <x:v>Member-resort routing and a future Northeast camera cluster; public PR directory lowers research cost.</x:v>
      </x:c>
      <x:c r="Y66" s="4" t="n">
        <x:v>3</x:v>
      </x:c>
      <x:c r="Z66" s="4" t="n">
        <x:v>4</x:v>
      </x:c>
      <x:c r="AA66" s="4" t="n">
        <x:v>3</x:v>
      </x:c>
      <x:c r="AB66" s="4" t="n">
        <x:v>3</x:v>
      </x:c>
      <x:c r="AC66" s="4" t="n">
        <x:v>3</x:v>
      </x:c>
      <x:c r="AD66" s="4" t="n">
        <x:f>Y66*Z66*AA66*AB66*AC66</x:f>
        <x:v>324</x:v>
      </x:c>
      <x:c r="AE66" s="4" t="str">
        <x:v>N/A</x:v>
      </x:c>
      <x:c r="AF66" s="4" t="str">
        <x:v>N/A</x:v>
      </x:c>
      <x:c r="AG66" s="4" t="str">
        <x:v>https://skivermont.com/contact</x:v>
      </x:c>
      <x:c r="AH66" s="4" t="str">
        <x:v>N/A</x:v>
      </x:c>
      <x:c r="AI66" s="12" t="n">
        <x:v>46274</x:v>
      </x:c>
      <x:c r="AJ66" s="4" t="str">
        <x:v>Public first-party business route researched; no delivery test or buyer authority confirmed</x:v>
      </x:c>
      <x:c r="AK66" s="4" t="str">
        <x:v>PeakCam × Ski Vermont: small ski-season pilot</x:v>
      </x:c>
      <x:c r="AL66" s="4" t="str">
        <x:v>Hi Ski Vermont team,
I’m Jared, the founder of PeakCam (peakcam.io), a small mountain-camera finder currently starting with three Colorado resorts. Member-resort routing and a future Northeast camera cluster; public PR directory lowers research cost.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7" ht="58" customHeight="1">
      <x:c r="A67" s="4" t="str">
        <x:v>PC-066</x:v>
      </x:c>
      <x:c r="B67" s="4" t="str">
        <x:v>P3 — later / discovery</x:v>
      </x:c>
      <x:c r="C67" s="4" t="str">
        <x:v>Visit California</x:v>
      </x:c>
      <x:c r="D67" s="4" t="str">
        <x:v>Tourism / DMO</x:v>
      </x:c>
      <x:c r="E67" s="4" t="str">
        <x:v>Sacramento, California</x:v>
      </x:c>
      <x:c r="F67" s="4" t="str">
        <x:v>https://www.visitcalifornia.com</x:v>
      </x:c>
      <x:c r="G67" s="4" t="str">
        <x:v>N/A</x:v>
      </x:c>
      <x:c r="H67" s="4" t="str">
        <x:v>N/A</x:v>
      </x:c>
      <x:c r="I67" s="4" t="str">
        <x:v>Marketing / partnerships (routing request)</x:v>
      </x:c>
      <x:c r="J67" s="4" t="str">
        <x:v>N/A</x:v>
      </x:c>
      <x:c r="K67" s="4" t="str">
        <x:v>N/A</x:v>
      </x:c>
      <x:c r="L67" s="4" t="str">
        <x:v>916-444-4429</x:v>
      </x:c>
      <x:c r="M67" s="4" t="str">
        <x:v>https://industry.visitcalifornia.com/contact-us</x:v>
      </x:c>
      <x:c r="N67" s="4" t="str">
        <x:v>N/A</x:v>
      </x:c>
      <x:c r="O67" s="4" t="str">
        <x:v>A concise, source-credited destination camera guide and trackable referral pilot</x:v>
      </x:c>
      <x:c r="P67" s="4" t="str">
        <x:v>Distribution/permissions first; destination sponsorship later</x:v>
      </x:c>
      <x:c r="Q67" s="4" t="str">
        <x:v>$0 pilot; $250–750/month hypothetical later</x:v>
      </x:c>
      <x:c r="R67" s="4" t="str">
        <x:v>8–20% (subjective)</x:v>
      </x:c>
      <x:c r="S67" s="4" t="n">
        <x:v>3</x:v>
      </x:c>
      <x:c r="T67" s="12" t="n">
        <x:v>46401</x:v>
      </x:c>
      <x:c r="U67" s="12" t="n">
        <x:v>46408</x:v>
      </x:c>
      <x:c r="V67" s="4" t="str">
        <x:v>Research ready — reverify before send</x:v>
      </x:c>
      <x:c r="W67" s="4" t="str">
        <x:v>N/A</x:v>
      </x:c>
      <x:c r="X67" s="4" t="str">
        <x:v>Later Tahoe destination-distribution discussion only after California coverage and measured audience exist.</x:v>
      </x:c>
      <x:c r="Y67" s="4" t="n">
        <x:v>2</x:v>
      </x:c>
      <x:c r="Z67" s="4" t="n">
        <x:v>3</x:v>
      </x:c>
      <x:c r="AA67" s="4" t="n">
        <x:v>3</x:v>
      </x:c>
      <x:c r="AB67" s="4" t="n">
        <x:v>3</x:v>
      </x:c>
      <x:c r="AC67" s="4" t="n">
        <x:v>2</x:v>
      </x:c>
      <x:c r="AD67" s="4" t="n">
        <x:f>Y67*Z67*AA67*AB67*AC67</x:f>
        <x:v>108</x:v>
      </x:c>
      <x:c r="AE67" s="4" t="str">
        <x:v>N/A</x:v>
      </x:c>
      <x:c r="AF67" s="4" t="str">
        <x:v>N/A</x:v>
      </x:c>
      <x:c r="AG67" s="4" t="str">
        <x:v>https://industry.visitcalifornia.com/contact-us</x:v>
      </x:c>
      <x:c r="AH67" s="4" t="str">
        <x:v>N/A</x:v>
      </x:c>
      <x:c r="AI67" s="12" t="n">
        <x:v>46274</x:v>
      </x:c>
      <x:c r="AJ67" s="4" t="str">
        <x:v>Public first-party business route researched; no delivery test or buyer authority confirmed</x:v>
      </x:c>
      <x:c r="AK67" s="4" t="str">
        <x:v>PeakCam × Visit California: small ski-season pilot</x:v>
      </x:c>
      <x:c r="AL67" s="4" t="str">
        <x:v>Hi Visit California team,
I’m Jared, the founder of PeakCam (peakcam.io), a small mountain-camera finder currently starting with three Colorado resorts. Later Tahoe destination-distribution discussion only after California coverage and measured audience exist.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8" ht="58" customHeight="1">
      <x:c r="A68" s="4" t="str">
        <x:v>PC-067</x:v>
      </x:c>
      <x:c r="B68" s="4" t="str">
        <x:v>P3 — later / discovery</x:v>
      </x:c>
      <x:c r="C68" s="4" t="str">
        <x:v>Travel Oregon</x:v>
      </x:c>
      <x:c r="D68" s="4" t="str">
        <x:v>Tourism / DMO</x:v>
      </x:c>
      <x:c r="E68" s="4" t="str">
        <x:v>Portland, Oregon</x:v>
      </x:c>
      <x:c r="F68" s="4" t="str">
        <x:v>https://traveloregon.com</x:v>
      </x:c>
      <x:c r="G68" s="4" t="str">
        <x:v>N/A</x:v>
      </x:c>
      <x:c r="H68" s="4" t="str">
        <x:v>N/A</x:v>
      </x:c>
      <x:c r="I68" s="4" t="str">
        <x:v>Marketing / partnerships (routing request)</x:v>
      </x:c>
      <x:c r="J68" s="4" t="str">
        <x:v>info@traveloregon.com</x:v>
      </x:c>
      <x:c r="K68" s="4" t="str">
        <x:v>N/A</x:v>
      </x:c>
      <x:c r="L68" s="4" t="str">
        <x:v>971-717-6205</x:v>
      </x:c>
      <x:c r="M68" s="4" t="str">
        <x:v>https://industry.traveloregon.com/about/contact/</x:v>
      </x:c>
      <x:c r="N68" s="4" t="str">
        <x:v>N/A</x:v>
      </x:c>
      <x:c r="O68" s="4" t="str">
        <x:v>A concise, source-credited destination camera guide and trackable referral pilot</x:v>
      </x:c>
      <x:c r="P68" s="4" t="str">
        <x:v>Distribution/permissions first; destination sponsorship later</x:v>
      </x:c>
      <x:c r="Q68" s="4" t="str">
        <x:v>$0 pilot; $250–750/month hypothetical later</x:v>
      </x:c>
      <x:c r="R68" s="4" t="str">
        <x:v>8–20% (subjective)</x:v>
      </x:c>
      <x:c r="S68" s="4" t="n">
        <x:v>3</x:v>
      </x:c>
      <x:c r="T68" s="12" t="n">
        <x:v>46401</x:v>
      </x:c>
      <x:c r="U68" s="12" t="n">
        <x:v>46408</x:v>
      </x:c>
      <x:c r="V68" s="4" t="str">
        <x:v>Research ready — reverify before send</x:v>
      </x:c>
      <x:c r="W68" s="4" t="str">
        <x:v>N/A</x:v>
      </x:c>
      <x:c r="X68" s="4" t="str">
        <x:v>Later Oregon mountain-cam resource and tourism partner routing; not a near-term ad sale.</x:v>
      </x:c>
      <x:c r="Y68" s="4" t="n">
        <x:v>2</x:v>
      </x:c>
      <x:c r="Z68" s="4" t="n">
        <x:v>3</x:v>
      </x:c>
      <x:c r="AA68" s="4" t="n">
        <x:v>3</x:v>
      </x:c>
      <x:c r="AB68" s="4" t="n">
        <x:v>3</x:v>
      </x:c>
      <x:c r="AC68" s="4" t="n">
        <x:v>2</x:v>
      </x:c>
      <x:c r="AD68" s="4" t="n">
        <x:f>Y68*Z68*AA68*AB68*AC68</x:f>
        <x:v>108</x:v>
      </x:c>
      <x:c r="AE68" s="4" t="str">
        <x:v>N/A</x:v>
      </x:c>
      <x:c r="AF68" s="4" t="str">
        <x:v>N/A</x:v>
      </x:c>
      <x:c r="AG68" s="4" t="str">
        <x:v>https://industry.traveloregon.com/about/contact/</x:v>
      </x:c>
      <x:c r="AH68" s="4" t="str">
        <x:v>N/A</x:v>
      </x:c>
      <x:c r="AI68" s="12" t="n">
        <x:v>46274</x:v>
      </x:c>
      <x:c r="AJ68" s="4" t="str">
        <x:v>Public first-party business route researched; no delivery test or buyer authority confirmed</x:v>
      </x:c>
      <x:c r="AK68" s="4" t="str">
        <x:v>PeakCam × Travel Oregon: small ski-season pilot</x:v>
      </x:c>
      <x:c r="AL68" s="4" t="str">
        <x:v>Hi Travel Oregon team,
I’m Jared, the founder of PeakCam (peakcam.io), a small mountain-camera finder currently starting with three Colorado resorts. Later Oregon mountain-cam resource and tourism partner routing; not a near-term ad sale.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69" ht="58" customHeight="1">
      <x:c r="A69" s="4" t="str">
        <x:v>PC-068</x:v>
      </x:c>
      <x:c r="B69" s="4" t="str">
        <x:v>P3 — later / discovery</x:v>
      </x:c>
      <x:c r="C69" s="4" t="str">
        <x:v>Visit Idaho</x:v>
      </x:c>
      <x:c r="D69" s="4" t="str">
        <x:v>Tourism / DMO</x:v>
      </x:c>
      <x:c r="E69" s="4" t="str">
        <x:v>Boise, Idaho</x:v>
      </x:c>
      <x:c r="F69" s="4" t="str">
        <x:v>https://visitidaho.org</x:v>
      </x:c>
      <x:c r="G69" s="4" t="str">
        <x:v>N/A</x:v>
      </x:c>
      <x:c r="H69" s="4" t="str">
        <x:v>N/A</x:v>
      </x:c>
      <x:c r="I69" s="4" t="str">
        <x:v>Marketing / partnerships (routing request)</x:v>
      </x:c>
      <x:c r="J69" s="4" t="str">
        <x:v>N/A</x:v>
      </x:c>
      <x:c r="K69" s="4" t="str">
        <x:v>N/A</x:v>
      </x:c>
      <x:c r="L69" s="4" t="str">
        <x:v>208-334-2470</x:v>
      </x:c>
      <x:c r="M69" s="4" t="str">
        <x:v>https://visitidaho.org/contact-us/</x:v>
      </x:c>
      <x:c r="N69" s="4" t="str">
        <x:v>N/A</x:v>
      </x:c>
      <x:c r="O69" s="4" t="str">
        <x:v>A concise, source-credited destination camera guide and trackable referral pilot</x:v>
      </x:c>
      <x:c r="P69" s="4" t="str">
        <x:v>Distribution/permissions first; destination sponsorship later</x:v>
      </x:c>
      <x:c r="Q69" s="4" t="str">
        <x:v>$0 pilot; $250–750/month hypothetical later</x:v>
      </x:c>
      <x:c r="R69" s="4" t="str">
        <x:v>8–20% (subjective)</x:v>
      </x:c>
      <x:c r="S69" s="4" t="n">
        <x:v>3</x:v>
      </x:c>
      <x:c r="T69" s="12" t="n">
        <x:v>46401</x:v>
      </x:c>
      <x:c r="U69" s="12" t="n">
        <x:v>46408</x:v>
      </x:c>
      <x:c r="V69" s="4" t="str">
        <x:v>Research ready — reverify before send</x:v>
      </x:c>
      <x:c r="W69" s="4" t="str">
        <x:v>N/A</x:v>
      </x:c>
      <x:c r="X69" s="4" t="str">
        <x:v>Later Bogus–Brundage destination cluster with camera and trip-planning value.</x:v>
      </x:c>
      <x:c r="Y69" s="4" t="n">
        <x:v>2</x:v>
      </x:c>
      <x:c r="Z69" s="4" t="n">
        <x:v>3</x:v>
      </x:c>
      <x:c r="AA69" s="4" t="n">
        <x:v>3</x:v>
      </x:c>
      <x:c r="AB69" s="4" t="n">
        <x:v>3</x:v>
      </x:c>
      <x:c r="AC69" s="4" t="n">
        <x:v>2</x:v>
      </x:c>
      <x:c r="AD69" s="4" t="n">
        <x:f>Y69*Z69*AA69*AB69*AC69</x:f>
        <x:v>108</x:v>
      </x:c>
      <x:c r="AE69" s="4" t="str">
        <x:v>N/A</x:v>
      </x:c>
      <x:c r="AF69" s="4" t="str">
        <x:v>N/A</x:v>
      </x:c>
      <x:c r="AG69" s="4" t="str">
        <x:v>https://visitidaho.org/contact-us/</x:v>
      </x:c>
      <x:c r="AH69" s="4" t="str">
        <x:v>N/A</x:v>
      </x:c>
      <x:c r="AI69" s="12" t="n">
        <x:v>46274</x:v>
      </x:c>
      <x:c r="AJ69" s="4" t="str">
        <x:v>Public first-party business route researched; no delivery test or buyer authority confirmed</x:v>
      </x:c>
      <x:c r="AK69" s="4" t="str">
        <x:v>PeakCam × Visit Idaho: small ski-season pilot</x:v>
      </x:c>
      <x:c r="AL69" s="4" t="str">
        <x:v>Hi Visit Idaho team,
I’m Jared, the founder of PeakCam (peakcam.io), a small mountain-camera finder currently starting with three Colorado resorts. Later Bogus–Brundage destination cluster with camera and trip-planning value.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0" ht="58" customHeight="1">
      <x:c r="A70" s="4" t="str">
        <x:v>PC-069</x:v>
      </x:c>
      <x:c r="B70" s="4" t="str">
        <x:v>P2 — after core proof</x:v>
      </x:c>
      <x:c r="C70" s="4" t="str">
        <x:v>Backcountry</x:v>
      </x:c>
      <x:c r="D70" s="4" t="str">
        <x:v>Outdoor retailer / affiliate</x:v>
      </x:c>
      <x:c r="E70" s="4" t="str">
        <x:v>United States</x:v>
      </x:c>
      <x:c r="F70" s="4" t="str">
        <x:v>https://www.backcountry.com</x:v>
      </x:c>
      <x:c r="G70" s="4" t="str">
        <x:v>N/A</x:v>
      </x:c>
      <x:c r="H70" s="4" t="str">
        <x:v>N/A</x:v>
      </x:c>
      <x:c r="I70" s="4" t="str">
        <x:v>Affiliate program</x:v>
      </x:c>
      <x:c r="J70" s="4" t="str">
        <x:v>N/A</x:v>
      </x:c>
      <x:c r="K70" s="4" t="str">
        <x:v>N/A</x:v>
      </x:c>
      <x:c r="L70" s="4" t="str">
        <x:v>N/A</x:v>
      </x:c>
      <x:c r="M70" s="4" t="str">
        <x:v>https://www.backcountry.com/info/affiliate-program</x:v>
      </x:c>
      <x:c r="N70" s="4" t="str">
        <x:v>N/A</x:v>
      </x:c>
      <x:c r="O70" s="4" t="str">
        <x:v>An approved, clearly disclosed resort-context referral link with merchant sub-ID tracking</x:v>
      </x:c>
      <x:c r="P70" s="4" t="str">
        <x:v>Net approved affiliate/referral commissions</x:v>
      </x:c>
      <x:c r="Q70" s="4" t="str">
        <x:v>$0 minimum; $0–300/month early planning range, traffic dependent</x:v>
      </x:c>
      <x:c r="R70" s="4" t="str">
        <x:v>10–25% (subjective)</x:v>
      </x:c>
      <x:c r="S70" s="4" t="n">
        <x:v>2</x:v>
      </x:c>
      <x:c r="T70" s="12" t="n">
        <x:v>46401</x:v>
      </x:c>
      <x:c r="U70" s="12" t="n">
        <x:v>46408</x:v>
      </x:c>
      <x:c r="V70" s="4" t="str">
        <x:v>Research ready — reverify before send</x:v>
      </x:c>
      <x:c r="W70" s="4" t="str">
        <x:v>Official page states 8% base commission and 30-day cookie; acceptance, exclusions and net sales govern.</x:v>
      </x:c>
      <x:c r="X70" s="4" t="str">
        <x:v>Current first-party publisher affiliate program; test only contextual gear links, not generic banners.</x:v>
      </x:c>
      <x:c r="Y70" s="4" t="n">
        <x:v>3</x:v>
      </x:c>
      <x:c r="Z70" s="4" t="n">
        <x:v>4</x:v>
      </x:c>
      <x:c r="AA70" s="4" t="n">
        <x:v>3</x:v>
      </x:c>
      <x:c r="AB70" s="4" t="n">
        <x:v>4</x:v>
      </x:c>
      <x:c r="AC70" s="4" t="n">
        <x:v>3</x:v>
      </x:c>
      <x:c r="AD70" s="4" t="n">
        <x:f>Y70*Z70*AA70*AB70*AC70</x:f>
        <x:v>432</x:v>
      </x:c>
      <x:c r="AE70" s="4" t="str">
        <x:v>N/A</x:v>
      </x:c>
      <x:c r="AF70" s="4" t="str">
        <x:v>N/A</x:v>
      </x:c>
      <x:c r="AG70" s="4" t="str">
        <x:v>https://www.backcountry.com/info/affiliate-program</x:v>
      </x:c>
      <x:c r="AH70" s="4" t="str">
        <x:v>N/A</x:v>
      </x:c>
      <x:c r="AI70" s="12" t="n">
        <x:v>46274</x:v>
      </x:c>
      <x:c r="AJ70" s="4" t="str">
        <x:v>Public first-party business route researched; no delivery test or buyer authority confirmed</x:v>
      </x:c>
      <x:c r="AK70" s="4" t="str">
        <x:v>PeakCam × Backcountry: small ski-season pilot</x:v>
      </x:c>
      <x:c r="AL70" s="4" t="str">
        <x:v>Hi Backcountry team,
I’m Jared, the founder of PeakCam (peakcam.io), a small mountain-camera finder currently starting with three Colorado resorts. Current first-party publisher affiliate program; test only contextual gear links, not generic banners.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1" ht="58" customHeight="1">
      <x:c r="A71" s="4" t="str">
        <x:v>PC-070</x:v>
      </x:c>
      <x:c r="B71" s="4" t="str">
        <x:v>P3 — later / discovery</x:v>
      </x:c>
      <x:c r="C71" s="4" t="str">
        <x:v>Snow Peak USA</x:v>
      </x:c>
      <x:c r="D71" s="4" t="str">
        <x:v>Outdoor brand / affiliate</x:v>
      </x:c>
      <x:c r="E71" s="4" t="str">
        <x:v>United States</x:v>
      </x:c>
      <x:c r="F71" s="4" t="str">
        <x:v>https://www.snowpeak.com</x:v>
      </x:c>
      <x:c r="G71" s="4" t="str">
        <x:v>N/A</x:v>
      </x:c>
      <x:c r="H71" s="4" t="str">
        <x:v>N/A</x:v>
      </x:c>
      <x:c r="I71" s="4" t="str">
        <x:v>Affiliate program</x:v>
      </x:c>
      <x:c r="J71" s="4" t="str">
        <x:v>N/A</x:v>
      </x:c>
      <x:c r="K71" s="4" t="str">
        <x:v>N/A</x:v>
      </x:c>
      <x:c r="L71" s="4" t="str">
        <x:v>N/A</x:v>
      </x:c>
      <x:c r="M71" s="4" t="str">
        <x:v>https://www.snowpeak.com/pages/affiliates</x:v>
      </x:c>
      <x:c r="N71" s="4" t="str">
        <x:v>N/A</x:v>
      </x:c>
      <x:c r="O71" s="4" t="str">
        <x:v>An approved, clearly disclosed resort-context referral link with merchant sub-ID tracking</x:v>
      </x:c>
      <x:c r="P71" s="4" t="str">
        <x:v>Net approved affiliate/referral commissions</x:v>
      </x:c>
      <x:c r="Q71" s="4" t="str">
        <x:v>$0 minimum; $0–300/month early planning range, traffic dependent</x:v>
      </x:c>
      <x:c r="R71" s="4" t="str">
        <x:v>10–25% (subjective)</x:v>
      </x:c>
      <x:c r="S71" s="4" t="n">
        <x:v>2</x:v>
      </x:c>
      <x:c r="T71" s="12" t="n">
        <x:v>46401</x:v>
      </x:c>
      <x:c r="U71" s="12" t="n">
        <x:v>46408</x:v>
      </x:c>
      <x:c r="V71" s="4" t="str">
        <x:v>Research ready — reverify before send</x:v>
      </x:c>
      <x:c r="W71" s="4" t="str">
        <x:v>Content partners 6%, coupon partners 2%, 30 days; vendor AOV claims are not PeakCam projections.</x:v>
      </x:c>
      <x:c r="X71" s="4" t="str">
        <x:v>Published affiliate program; limited current ski-specific fit, so defer until appropriate trip-gear content exists.</x:v>
      </x:c>
      <x:c r="Y71" s="4" t="n">
        <x:v>2</x:v>
      </x:c>
      <x:c r="Z71" s="4" t="n">
        <x:v>3</x:v>
      </x:c>
      <x:c r="AA71" s="4" t="n">
        <x:v>3</x:v>
      </x:c>
      <x:c r="AB71" s="4" t="n">
        <x:v>4</x:v>
      </x:c>
      <x:c r="AC71" s="4" t="n">
        <x:v>2</x:v>
      </x:c>
      <x:c r="AD71" s="4" t="n">
        <x:f>Y71*Z71*AA71*AB71*AC71</x:f>
        <x:v>144</x:v>
      </x:c>
      <x:c r="AE71" s="4" t="str">
        <x:v>N/A</x:v>
      </x:c>
      <x:c r="AF71" s="4" t="str">
        <x:v>N/A</x:v>
      </x:c>
      <x:c r="AG71" s="4" t="str">
        <x:v>https://www.snowpeak.com/pages/affiliates</x:v>
      </x:c>
      <x:c r="AH71" s="4" t="str">
        <x:v>N/A</x:v>
      </x:c>
      <x:c r="AI71" s="12" t="n">
        <x:v>46274</x:v>
      </x:c>
      <x:c r="AJ71" s="4" t="str">
        <x:v>Public first-party business route researched; no delivery test or buyer authority confirmed</x:v>
      </x:c>
      <x:c r="AK71" s="4" t="str">
        <x:v>PeakCam × Snow Peak USA: small ski-season pilot</x:v>
      </x:c>
      <x:c r="AL71" s="4" t="str">
        <x:v>Hi Snow Peak USA team,
I’m Jared, the founder of PeakCam (peakcam.io), a small mountain-camera finder currently starting with three Colorado resorts. Published affiliate program; limited current ski-specific fit, so defer until appropriate trip-gear content exists.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2" ht="58" customHeight="1">
      <x:c r="A72" s="4" t="str">
        <x:v>PC-071</x:v>
      </x:c>
      <x:c r="B72" s="4" t="str">
        <x:v>P2 — after core proof</x:v>
      </x:c>
      <x:c r="C72" s="4" t="str">
        <x:v>Stio</x:v>
      </x:c>
      <x:c r="D72" s="4" t="str">
        <x:v>Outdoor brand</x:v>
      </x:c>
      <x:c r="E72" s="4" t="str">
        <x:v>Jackson, Wyoming</x:v>
      </x:c>
      <x:c r="F72" s="4" t="str">
        <x:v>https://www.stio.com</x:v>
      </x:c>
      <x:c r="G72" s="4" t="str">
        <x:v>N/A</x:v>
      </x:c>
      <x:c r="H72" s="4" t="str">
        <x:v>N/A</x:v>
      </x:c>
      <x:c r="I72" s="4" t="str">
        <x:v>Marketing / partnerships (routing request)</x:v>
      </x:c>
      <x:c r="J72" s="4" t="str">
        <x:v>customerexperience@stio.com</x:v>
      </x:c>
      <x:c r="K72" s="4" t="str">
        <x:v>N/A</x:v>
      </x:c>
      <x:c r="L72" s="4" t="str">
        <x:v>800-265-7846</x:v>
      </x:c>
      <x:c r="M72" s="4" t="str">
        <x:v>https://www.stio.com/pages/contact-us</x:v>
      </x:c>
      <x:c r="N72" s="4" t="str">
        <x:v>N/A</x:v>
      </x:c>
      <x:c r="O72" s="4" t="str">
        <x:v>A small, clearly labeled Colorado ski-planning placement or an approved affiliate test</x:v>
      </x:c>
      <x:c r="P72" s="4" t="str">
        <x:v>Sponsor / affiliate only where approved</x:v>
      </x:c>
      <x:c r="Q72" s="4" t="str">
        <x:v>$100–300/month pilot if fit and real reach; otherwise $0</x:v>
      </x:c>
      <x:c r="R72" s="4" t="str">
        <x:v>5–15% (subjective)</x:v>
      </x:c>
      <x:c r="S72" s="4" t="n">
        <x:v>3</x:v>
      </x:c>
      <x:c r="T72" s="12" t="n">
        <x:v>46408</x:v>
      </x:c>
      <x:c r="U72" s="12" t="n">
        <x:v>46415</x:v>
      </x:c>
      <x:c r="V72" s="4" t="str">
        <x:v>Research ready — reverify before send</x:v>
      </x:c>
      <x:c r="W72" s="4" t="str">
        <x:v>Pro purchase discount is not a verified publisher affiliate arrangement.</x:v>
      </x:c>
      <x:c r="X72" s="4" t="str">
        <x:v>Ski-town apparel brand; ask for routing to a small regional content or sponsorship pilot.</x:v>
      </x:c>
      <x:c r="Y72" s="4" t="n">
        <x:v>3</x:v>
      </x:c>
      <x:c r="Z72" s="4" t="n">
        <x:v>4</x:v>
      </x:c>
      <x:c r="AA72" s="4" t="n">
        <x:v>3</x:v>
      </x:c>
      <x:c r="AB72" s="4" t="n">
        <x:v>3</x:v>
      </x:c>
      <x:c r="AC72" s="4" t="n">
        <x:v>3</x:v>
      </x:c>
      <x:c r="AD72" s="4" t="n">
        <x:f>Y72*Z72*AA72*AB72*AC72</x:f>
        <x:v>324</x:v>
      </x:c>
      <x:c r="AE72" s="4" t="str">
        <x:v>N/A</x:v>
      </x:c>
      <x:c r="AF72" s="4" t="str">
        <x:v>N/A</x:v>
      </x:c>
      <x:c r="AG72" s="4" t="str">
        <x:v>https://www.stio.com/pages/contact-us</x:v>
      </x:c>
      <x:c r="AH72" s="4" t="str">
        <x:v>N/A</x:v>
      </x:c>
      <x:c r="AI72" s="12" t="n">
        <x:v>46274</x:v>
      </x:c>
      <x:c r="AJ72" s="4" t="str">
        <x:v>Public first-party business route researched; no delivery test or buyer authority confirmed</x:v>
      </x:c>
      <x:c r="AK72" s="4" t="str">
        <x:v>PeakCam × Stio: small ski-season pilot</x:v>
      </x:c>
      <x:c r="AL72" s="4" t="str">
        <x:v>Hi Stio team,
I’m Jared, the founder of PeakCam (peakcam.io), a small mountain-camera finder currently starting with three Colorado resorts. Ski-town apparel brand; ask for routing to a small regional content or sponsorship pilot.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3" ht="58" customHeight="1">
      <x:c r="A73" s="4" t="str">
        <x:v>PC-072</x:v>
      </x:c>
      <x:c r="B73" s="4" t="str">
        <x:v>P2 — after core proof</x:v>
      </x:c>
      <x:c r="C73" s="4" t="str">
        <x:v>Weston</x:v>
      </x:c>
      <x:c r="D73" s="4" t="str">
        <x:v>Outdoor brand / affiliate</x:v>
      </x:c>
      <x:c r="E73" s="4" t="str">
        <x:v>Lakewood, Colorado</x:v>
      </x:c>
      <x:c r="F73" s="4" t="str">
        <x:v>https://westonbackcountry.com</x:v>
      </x:c>
      <x:c r="G73" s="4" t="str">
        <x:v>N/A</x:v>
      </x:c>
      <x:c r="H73" s="4" t="str">
        <x:v>N/A</x:v>
      </x:c>
      <x:c r="I73" s="4" t="str">
        <x:v>Affiliate program</x:v>
      </x:c>
      <x:c r="J73" s="4" t="str">
        <x:v>N/A</x:v>
      </x:c>
      <x:c r="K73" s="4" t="str">
        <x:v>N/A</x:v>
      </x:c>
      <x:c r="L73" s="4" t="str">
        <x:v>720-663-9112</x:v>
      </x:c>
      <x:c r="M73" s="4" t="str">
        <x:v>https://westonbackcountry.com/pages/weston-affiliate-program</x:v>
      </x:c>
      <x:c r="N73" s="4" t="str">
        <x:v>N/A</x:v>
      </x:c>
      <x:c r="O73" s="4" t="str">
        <x:v>An approved, clearly disclosed resort-context referral link with merchant sub-ID tracking</x:v>
      </x:c>
      <x:c r="P73" s="4" t="str">
        <x:v>Net approved affiliate/referral commissions</x:v>
      </x:c>
      <x:c r="Q73" s="4" t="str">
        <x:v>$0 minimum; $0–300/month early planning range, traffic dependent</x:v>
      </x:c>
      <x:c r="R73" s="4" t="str">
        <x:v>10–25% (subjective)</x:v>
      </x:c>
      <x:c r="S73" s="4" t="n">
        <x:v>2</x:v>
      </x:c>
      <x:c r="T73" s="12" t="n">
        <x:v>46408</x:v>
      </x:c>
      <x:c r="U73" s="12" t="n">
        <x:v>46415</x:v>
      </x:c>
      <x:c r="V73" s="4" t="str">
        <x:v>Research ready — reverify before send</x:v>
      </x:c>
      <x:c r="W73" s="4" t="str">
        <x:v>Official affiliate page states 6%, 30 days through AvantLink; approval required.</x:v>
      </x:c>
      <x:c r="X73" s="4" t="str">
        <x:v>Colorado ski/snowboard fit and published publisher program; possible small gear-content experiment.</x:v>
      </x:c>
      <x:c r="Y73" s="4" t="n">
        <x:v>3</x:v>
      </x:c>
      <x:c r="Z73" s="4" t="n">
        <x:v>4</x:v>
      </x:c>
      <x:c r="AA73" s="4" t="n">
        <x:v>3</x:v>
      </x:c>
      <x:c r="AB73" s="4" t="n">
        <x:v>4</x:v>
      </x:c>
      <x:c r="AC73" s="4" t="n">
        <x:v>3</x:v>
      </x:c>
      <x:c r="AD73" s="4" t="n">
        <x:f>Y73*Z73*AA73*AB73*AC73</x:f>
        <x:v>432</x:v>
      </x:c>
      <x:c r="AE73" s="4" t="str">
        <x:v>N/A</x:v>
      </x:c>
      <x:c r="AF73" s="4" t="str">
        <x:v>N/A</x:v>
      </x:c>
      <x:c r="AG73" s="4" t="str">
        <x:v>https://westonbackcountry.com/pages/weston-affiliate-program</x:v>
      </x:c>
      <x:c r="AH73" s="4" t="str">
        <x:v>N/A</x:v>
      </x:c>
      <x:c r="AI73" s="12" t="n">
        <x:v>46274</x:v>
      </x:c>
      <x:c r="AJ73" s="4" t="str">
        <x:v>Public first-party business route researched; no delivery test or buyer authority confirmed</x:v>
      </x:c>
      <x:c r="AK73" s="4" t="str">
        <x:v>PeakCam × Weston: small ski-season pilot</x:v>
      </x:c>
      <x:c r="AL73" s="4" t="str">
        <x:v>Hi Weston team,
I’m Jared, the founder of PeakCam (peakcam.io), a small mountain-camera finder currently starting with three Colorado resorts. Colorado ski/snowboard fit and published publisher program; possible small gear-content experiment.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4" ht="58" customHeight="1">
      <x:c r="A74" s="4" t="str">
        <x:v>PC-073</x:v>
      </x:c>
      <x:c r="B74" s="4" t="str">
        <x:v>P3 — later / discovery</x:v>
      </x:c>
      <x:c r="C74" s="4" t="str">
        <x:v>Ski The East</x:v>
      </x:c>
      <x:c r="D74" s="4" t="str">
        <x:v>Outdoor brand</x:v>
      </x:c>
      <x:c r="E74" s="4" t="str">
        <x:v>Burlington, Vermont</x:v>
      </x:c>
      <x:c r="F74" s="4" t="str">
        <x:v>https://www.skitheeast.net</x:v>
      </x:c>
      <x:c r="G74" s="4" t="str">
        <x:v>N/A</x:v>
      </x:c>
      <x:c r="H74" s="4" t="str">
        <x:v>N/A</x:v>
      </x:c>
      <x:c r="I74" s="4" t="str">
        <x:v>Marketing / partnerships (routing request)</x:v>
      </x:c>
      <x:c r="J74" s="4" t="str">
        <x:v>ski@skitheeast.net</x:v>
      </x:c>
      <x:c r="K74" s="4" t="str">
        <x:v>N/A</x:v>
      </x:c>
      <x:c r="L74" s="4" t="str">
        <x:v>802-585-1098 x2</x:v>
      </x:c>
      <x:c r="M74" s="4" t="str">
        <x:v>https://www.skitheeast.net/pages/faq</x:v>
      </x:c>
      <x:c r="N74" s="4" t="str">
        <x:v>N/A</x:v>
      </x:c>
      <x:c r="O74" s="4" t="str">
        <x:v>A small, clearly labeled Colorado ski-planning placement or an approved affiliate test</x:v>
      </x:c>
      <x:c r="P74" s="4" t="str">
        <x:v>Sponsor / affiliate only where approved</x:v>
      </x:c>
      <x:c r="Q74" s="4" t="str">
        <x:v>$100–300/month pilot if fit and real reach; otherwise $0</x:v>
      </x:c>
      <x:c r="R74" s="4" t="str">
        <x:v>5–15% (subjective)</x:v>
      </x:c>
      <x:c r="S74" s="4" t="n">
        <x:v>3</x:v>
      </x:c>
      <x:c r="T74" s="12" t="n">
        <x:v>46408</x:v>
      </x:c>
      <x:c r="U74" s="12" t="n">
        <x:v>46415</x:v>
      </x:c>
      <x:c r="V74" s="4" t="str">
        <x:v>Research ready — reverify before send</x:v>
      </x:c>
      <x:c r="W74" s="4" t="str">
        <x:v>N/A</x:v>
      </x:c>
      <x:c r="X74" s="4" t="str">
        <x:v>Strong Northeast community fit only after that regional coverage exists; do not lead with Colorado inventory.</x:v>
      </x:c>
      <x:c r="Y74" s="4" t="n">
        <x:v>2</x:v>
      </x:c>
      <x:c r="Z74" s="4" t="n">
        <x:v>3</x:v>
      </x:c>
      <x:c r="AA74" s="4" t="n">
        <x:v>3</x:v>
      </x:c>
      <x:c r="AB74" s="4" t="n">
        <x:v>3</x:v>
      </x:c>
      <x:c r="AC74" s="4" t="n">
        <x:v>2</x:v>
      </x:c>
      <x:c r="AD74" s="4" t="n">
        <x:f>Y74*Z74*AA74*AB74*AC74</x:f>
        <x:v>108</x:v>
      </x:c>
      <x:c r="AE74" s="4" t="str">
        <x:v>N/A</x:v>
      </x:c>
      <x:c r="AF74" s="4" t="str">
        <x:v>N/A</x:v>
      </x:c>
      <x:c r="AG74" s="4" t="str">
        <x:v>https://www.skitheeast.net/pages/faq</x:v>
      </x:c>
      <x:c r="AH74" s="4" t="str">
        <x:v>N/A</x:v>
      </x:c>
      <x:c r="AI74" s="12" t="n">
        <x:v>46274</x:v>
      </x:c>
      <x:c r="AJ74" s="4" t="str">
        <x:v>Public first-party business route researched; no delivery test or buyer authority confirmed</x:v>
      </x:c>
      <x:c r="AK74" s="4" t="str">
        <x:v>PeakCam × Ski The East: small ski-season pilot</x:v>
      </x:c>
      <x:c r="AL74" s="4" t="str">
        <x:v>Hi Ski The East team,
I’m Jared, the founder of PeakCam (peakcam.io), a small mountain-camera finder currently starting with three Colorado resorts. Strong Northeast community fit only after that regional coverage exists; do not lead with Colorado inventory.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5" ht="58" customHeight="1">
      <x:c r="A75" s="4" t="str">
        <x:v>PC-074</x:v>
      </x:c>
      <x:c r="B75" s="4" t="str">
        <x:v>P2 — after core proof</x:v>
      </x:c>
      <x:c r="C75" s="4" t="str">
        <x:v>Wildhorn Outfitters</x:v>
      </x:c>
      <x:c r="D75" s="4" t="str">
        <x:v>Outdoor brand</x:v>
      </x:c>
      <x:c r="E75" s="4" t="str">
        <x:v>Draper, Utah</x:v>
      </x:c>
      <x:c r="F75" s="4" t="str">
        <x:v>https://www.wildhornoutfitters.com</x:v>
      </x:c>
      <x:c r="G75" s="4" t="str">
        <x:v>N/A</x:v>
      </x:c>
      <x:c r="H75" s="4" t="str">
        <x:v>N/A</x:v>
      </x:c>
      <x:c r="I75" s="4" t="str">
        <x:v>Marketing / partnerships (routing request)</x:v>
      </x:c>
      <x:c r="J75" s="4" t="str">
        <x:v>support@wildhornoutfitters.com</x:v>
      </x:c>
      <x:c r="K75" s="4" t="str">
        <x:v>N/A</x:v>
      </x:c>
      <x:c r="L75" s="4" t="str">
        <x:v>877-777-6088</x:v>
      </x:c>
      <x:c r="M75" s="4" t="str">
        <x:v>https://www.wildhornoutfitters.com/pages/contact-us</x:v>
      </x:c>
      <x:c r="N75" s="4" t="str">
        <x:v>N/A</x:v>
      </x:c>
      <x:c r="O75" s="4" t="str">
        <x:v>A small, clearly labeled Colorado ski-planning placement or an approved affiliate test</x:v>
      </x:c>
      <x:c r="P75" s="4" t="str">
        <x:v>Sponsor / affiliate only where approved</x:v>
      </x:c>
      <x:c r="Q75" s="4" t="str">
        <x:v>$100–300/month pilot if fit and real reach; otherwise $0</x:v>
      </x:c>
      <x:c r="R75" s="4" t="str">
        <x:v>5–15% (subjective)</x:v>
      </x:c>
      <x:c r="S75" s="4" t="n">
        <x:v>3</x:v>
      </x:c>
      <x:c r="T75" s="12" t="n">
        <x:v>46408</x:v>
      </x:c>
      <x:c r="U75" s="12" t="n">
        <x:v>46415</x:v>
      </x:c>
      <x:c r="V75" s="4" t="str">
        <x:v>Research ready — reverify before send</x:v>
      </x:c>
      <x:c r="W75" s="4" t="str">
        <x:v>Ambassador link exists; no commission or guaranteed product support inferred.</x:v>
      </x:c>
      <x:c r="X75" s="4" t="str">
        <x:v>Accessible helmet/goggle brand for modest contextual gear tests after audience validation.</x:v>
      </x:c>
      <x:c r="Y75" s="4" t="n">
        <x:v>3</x:v>
      </x:c>
      <x:c r="Z75" s="4" t="n">
        <x:v>4</x:v>
      </x:c>
      <x:c r="AA75" s="4" t="n">
        <x:v>3</x:v>
      </x:c>
      <x:c r="AB75" s="4" t="n">
        <x:v>3</x:v>
      </x:c>
      <x:c r="AC75" s="4" t="n">
        <x:v>3</x:v>
      </x:c>
      <x:c r="AD75" s="4" t="n">
        <x:f>Y75*Z75*AA75*AB75*AC75</x:f>
        <x:v>324</x:v>
      </x:c>
      <x:c r="AE75" s="4" t="str">
        <x:v>N/A</x:v>
      </x:c>
      <x:c r="AF75" s="4" t="str">
        <x:v>N/A</x:v>
      </x:c>
      <x:c r="AG75" s="4" t="str">
        <x:v>https://www.wildhornoutfitters.com/pages/contact-us</x:v>
      </x:c>
      <x:c r="AH75" s="4" t="str">
        <x:v>https://www.linkedin.com/company/wildhorn-outfitters</x:v>
      </x:c>
      <x:c r="AI75" s="12" t="n">
        <x:v>46274</x:v>
      </x:c>
      <x:c r="AJ75" s="4" t="str">
        <x:v>Public first-party business route researched; no delivery test or buyer authority confirmed</x:v>
      </x:c>
      <x:c r="AK75" s="4" t="str">
        <x:v>PeakCam × Wildhorn Outfitters: small ski-season pilot</x:v>
      </x:c>
      <x:c r="AL75" s="4" t="str">
        <x:v>Hi Wildhorn Outfitters team,
I’m Jared, the founder of PeakCam (peakcam.io), a small mountain-camera finder currently starting with three Colorado resorts. Accessible helmet/goggle brand for modest contextual gear tests after audience validation.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6" ht="58" customHeight="1">
      <x:c r="A76" s="4" t="str">
        <x:v>PC-075</x:v>
      </x:c>
      <x:c r="B76" s="4" t="str">
        <x:v>P3 — later / discovery</x:v>
      </x:c>
      <x:c r="C76" s="4" t="str">
        <x:v>Open-Meteo</x:v>
      </x:c>
      <x:c r="D76" s="4" t="str">
        <x:v>Weather / data vendor</x:v>
      </x:c>
      <x:c r="E76" s="4" t="str">
        <x:v>Europe / online</x:v>
      </x:c>
      <x:c r="F76" s="4" t="str">
        <x:v>https://open-meteo.com</x:v>
      </x:c>
      <x:c r="G76" s="4" t="str">
        <x:v>N/A</x:v>
      </x:c>
      <x:c r="H76" s="4" t="str">
        <x:v>N/A</x:v>
      </x:c>
      <x:c r="I76" s="4" t="str">
        <x:v>Commercial API licensing</x:v>
      </x:c>
      <x:c r="J76" s="4" t="str">
        <x:v>info@open-meteo.com</x:v>
      </x:c>
      <x:c r="K76" s="4" t="str">
        <x:v>N/A</x:v>
      </x:c>
      <x:c r="L76" s="4" t="str">
        <x:v>N/A</x:v>
      </x:c>
      <x:c r="M76" s="4" t="str">
        <x:v>https://open-meteo.com/en/pricing</x:v>
      </x:c>
      <x:c r="N76" s="4" t="str">
        <x:v>N/A</x:v>
      </x:c>
      <x:c r="O76" s="4" t="str">
        <x:v>A 5–10 camera, owner-consented commercial distribution pilot with attribution and no stream proxy</x:v>
      </x:c>
      <x:c r="P76" s="4" t="str">
        <x:v>License / distribution / traffic exchange; vendor cost not assumed revenue</x:v>
      </x:c>
      <x:c r="Q76" s="4" t="str">
        <x:v>$0–500/month pilot cost ceiling, quote required; revenue not assumed</x:v>
      </x:c>
      <x:c r="R76" s="4" t="str">
        <x:v>15–35% (subjective)</x:v>
      </x:c>
      <x:c r="S76" s="4" t="n">
        <x:v>3</x:v>
      </x:c>
      <x:c r="T76" s="12" t="n">
        <x:v>46408</x:v>
      </x:c>
      <x:c r="U76" s="12" t="n">
        <x:v>46415</x:v>
      </x:c>
      <x:c r="V76" s="4" t="str">
        <x:v>Research ready — reverify before send</x:v>
      </x:c>
      <x:c r="W76" s="4" t="str">
        <x:v>Free hosted API is noncommercial; commercial subscription and attribution required. Prices not reliably rendered; request current quote.</x:v>
      </x:c>
      <x:c r="X76" s="4" t="str">
        <x:v>Potential later commercially licensed forecast API; not necessary for the audited link-first camera product.</x:v>
      </x:c>
      <x:c r="Y76" s="4" t="n">
        <x:v>2</x:v>
      </x:c>
      <x:c r="Z76" s="4" t="n">
        <x:v>3</x:v>
      </x:c>
      <x:c r="AA76" s="4" t="n">
        <x:v>2</x:v>
      </x:c>
      <x:c r="AB76" s="4" t="n">
        <x:v>3</x:v>
      </x:c>
      <x:c r="AC76" s="4" t="n">
        <x:v>2</x:v>
      </x:c>
      <x:c r="AD76" s="4" t="n">
        <x:f>Y76*Z76*AA76*AB76*AC76</x:f>
        <x:v>72</x:v>
      </x:c>
      <x:c r="AE76" s="4" t="str">
        <x:v>N/A</x:v>
      </x:c>
      <x:c r="AF76" s="4" t="str">
        <x:v>N/A</x:v>
      </x:c>
      <x:c r="AG76" s="4" t="str">
        <x:v>https://open-meteo.com/en/pricing</x:v>
      </x:c>
      <x:c r="AH76" s="4" t="str">
        <x:v>N/A</x:v>
      </x:c>
      <x:c r="AI76" s="12" t="n">
        <x:v>46274</x:v>
      </x:c>
      <x:c r="AJ76" s="4" t="str">
        <x:v>Public first-party business route researched; no delivery test or buyer authority confirmed</x:v>
      </x:c>
      <x:c r="AK76" s="4" t="str">
        <x:v>PeakCam × Open-Meteo: small ski-season pilot</x:v>
      </x:c>
      <x:c r="AL76" s="4" t="str">
        <x:v>Hi Open-Meteo team,
I’m Jared, founder of PeakCam (peakcam.io), a small Colorado-focused mountain-camera finder. Potential later commercially licensed forecast API; not necessary for the audited link-first camera product.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77" ht="58" customHeight="1">
      <x:c r="A77" s="4" t="str">
        <x:v>PC-076</x:v>
      </x:c>
      <x:c r="B77" s="4" t="str">
        <x:v>P2 — after core proof</x:v>
      </x:c>
      <x:c r="C77" s="4" t="str">
        <x:v>Visit Lake Tahoe / Lake Tahoe Visitors Authority</x:v>
      </x:c>
      <x:c r="D77" s="4" t="str">
        <x:v>Tourism / DMO</x:v>
      </x:c>
      <x:c r="E77" s="4" t="str">
        <x:v>South Lake Tahoe, California / Stateline, Nevada</x:v>
      </x:c>
      <x:c r="F77" s="4" t="str">
        <x:v>https://visitlaketahoe.com</x:v>
      </x:c>
      <x:c r="G77" s="4" t="str">
        <x:v>Phil Weidinger</x:v>
      </x:c>
      <x:c r="H77" s="4" t="str">
        <x:v>President, retained PR agency</x:v>
      </x:c>
      <x:c r="I77" s="4" t="str">
        <x:v>Marketing / partnerships (routing request)</x:v>
      </x:c>
      <x:c r="J77" s="4" t="str">
        <x:v>dinger@weidingerpr.com</x:v>
      </x:c>
      <x:c r="K77" s="4" t="str">
        <x:v>N/A</x:v>
      </x:c>
      <x:c r="L77" s="4" t="str">
        <x:v>775-588-2412</x:v>
      </x:c>
      <x:c r="M77" s="4" t="str">
        <x:v>https://visitlaketahoe.com/media-and-pr/media/</x:v>
      </x:c>
      <x:c r="N77" s="4" t="str">
        <x:v>N/A</x:v>
      </x:c>
      <x:c r="O77" s="4" t="str">
        <x:v>A concise, source-credited destination camera guide and trackable referral pilot</x:v>
      </x:c>
      <x:c r="P77" s="4" t="str">
        <x:v>Distribution/permissions first; destination sponsorship later</x:v>
      </x:c>
      <x:c r="Q77" s="4" t="str">
        <x:v>$0 pilot; $250–750/month hypothetical later</x:v>
      </x:c>
      <x:c r="R77" s="4" t="str">
        <x:v>8–20% (subjective)</x:v>
      </x:c>
      <x:c r="S77" s="4" t="n">
        <x:v>3</x:v>
      </x:c>
      <x:c r="T77" s="12" t="n">
        <x:v>46415</x:v>
      </x:c>
      <x:c r="U77" s="12" t="n">
        <x:v>46422</x:v>
      </x:c>
      <x:c r="V77" s="4" t="str">
        <x:v>Research ready — reverify before send</x:v>
      </x:c>
      <x:c r="W77" s="4" t="str">
        <x:v>General public route info@visitlaketahoe.com, 530-542-4637. PR agency is a routing contact, not a confirmed sponsor buyer.</x:v>
      </x:c>
      <x:c r="X77" s="4" t="str">
        <x:v>Later Tahoe camera-rights and visitor-information pilot; start with approved assets and provider introductions.</x:v>
      </x:c>
      <x:c r="Y77" s="4" t="n">
        <x:v>3</x:v>
      </x:c>
      <x:c r="Z77" s="4" t="n">
        <x:v>4</x:v>
      </x:c>
      <x:c r="AA77" s="4" t="n">
        <x:v>3</x:v>
      </x:c>
      <x:c r="AB77" s="4" t="n">
        <x:v>3</x:v>
      </x:c>
      <x:c r="AC77" s="4" t="n">
        <x:v>3</x:v>
      </x:c>
      <x:c r="AD77" s="4" t="n">
        <x:f>Y77*Z77*AA77*AB77*AC77</x:f>
        <x:v>324</x:v>
      </x:c>
      <x:c r="AE77" s="4" t="str">
        <x:v>N/A</x:v>
      </x:c>
      <x:c r="AF77" s="4" t="str">
        <x:v>N/A</x:v>
      </x:c>
      <x:c r="AG77" s="4" t="str">
        <x:v>https://visitlaketahoe.com/media-and-pr/media/</x:v>
      </x:c>
      <x:c r="AH77" s="4" t="str">
        <x:v>https://visitlaketahoe.com/about-us/</x:v>
      </x:c>
      <x:c r="AI77" s="12" t="n">
        <x:v>46274</x:v>
      </x:c>
      <x:c r="AJ77" s="4" t="str">
        <x:v>Public first-party business route researched; no delivery test or buyer authority confirmed</x:v>
      </x:c>
      <x:c r="AK77" s="4" t="str">
        <x:v>PeakCam × Visit Lake Tahoe / Lake Tahoe Visitors Authority: small ski-season pilot</x:v>
      </x:c>
      <x:c r="AL77" s="4" t="str">
        <x:v>Hi Phil,
I’m Jared, the founder of PeakCam (peakcam.io), a small mountain-camera finder currently starting with three Colorado resorts. Later Tahoe camera-rights and visitor-information pilot; start with approved assets and provider introductions.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8" ht="58" customHeight="1">
      <x:c r="A78" s="4" t="str">
        <x:v>PC-077</x:v>
      </x:c>
      <x:c r="B78" s="4" t="str">
        <x:v>P3 — later / discovery</x:v>
      </x:c>
      <x:c r="C78" s="4" t="str">
        <x:v>Utah Office of Tourism / Visit Utah</x:v>
      </x:c>
      <x:c r="D78" s="4" t="str">
        <x:v>Tourism / DMO</x:v>
      </x:c>
      <x:c r="E78" s="4" t="str">
        <x:v>Salt Lake City, Utah</x:v>
      </x:c>
      <x:c r="F78" s="4" t="str">
        <x:v>https://www.visitutah.com</x:v>
      </x:c>
      <x:c r="G78" s="4" t="str">
        <x:v>N/A</x:v>
      </x:c>
      <x:c r="H78" s="4" t="str">
        <x:v>N/A</x:v>
      </x:c>
      <x:c r="I78" s="4" t="str">
        <x:v>Marketing / partnerships (routing request)</x:v>
      </x:c>
      <x:c r="J78" s="4" t="str">
        <x:v>info@visitutah.com</x:v>
      </x:c>
      <x:c r="K78" s="4" t="str">
        <x:v>N/A</x:v>
      </x:c>
      <x:c r="L78" s="4" t="str">
        <x:v>801-538-1900</x:v>
      </x:c>
      <x:c r="M78" s="4" t="str">
        <x:v>https://www.visitutah.com/fr-fr/contact</x:v>
      </x:c>
      <x:c r="N78" s="4" t="str">
        <x:v>N/A</x:v>
      </x:c>
      <x:c r="O78" s="4" t="str">
        <x:v>A concise, source-credited destination camera guide and trackable referral pilot</x:v>
      </x:c>
      <x:c r="P78" s="4" t="str">
        <x:v>Distribution/permissions first; destination sponsorship later</x:v>
      </x:c>
      <x:c r="Q78" s="4" t="str">
        <x:v>$0 pilot; $250–750/month hypothetical later</x:v>
      </x:c>
      <x:c r="R78" s="4" t="str">
        <x:v>8–20% (subjective)</x:v>
      </x:c>
      <x:c r="S78" s="4" t="n">
        <x:v>3</x:v>
      </x:c>
      <x:c r="T78" s="12" t="n">
        <x:v>46415</x:v>
      </x:c>
      <x:c r="U78" s="12" t="n">
        <x:v>46422</x:v>
      </x:c>
      <x:c r="V78" s="4" t="str">
        <x:v>Research ready — reverify before send</x:v>
      </x:c>
      <x:c r="W78" s="4" t="str">
        <x:v>N/A</x:v>
      </x:c>
      <x:c r="X78" s="4" t="str">
        <x:v>Later statewide routing and responsible trip-planning resource after Utah coverage exists.</x:v>
      </x:c>
      <x:c r="Y78" s="4" t="n">
        <x:v>2</x:v>
      </x:c>
      <x:c r="Z78" s="4" t="n">
        <x:v>3</x:v>
      </x:c>
      <x:c r="AA78" s="4" t="n">
        <x:v>3</x:v>
      </x:c>
      <x:c r="AB78" s="4" t="n">
        <x:v>3</x:v>
      </x:c>
      <x:c r="AC78" s="4" t="n">
        <x:v>2</x:v>
      </x:c>
      <x:c r="AD78" s="4" t="n">
        <x:f>Y78*Z78*AA78*AB78*AC78</x:f>
        <x:v>108</x:v>
      </x:c>
      <x:c r="AE78" s="4" t="str">
        <x:v>N/A</x:v>
      </x:c>
      <x:c r="AF78" s="4" t="str">
        <x:v>N/A</x:v>
      </x:c>
      <x:c r="AG78" s="4" t="str">
        <x:v>https://www.visitutah.com/fr-fr/contact</x:v>
      </x:c>
      <x:c r="AH78" s="4" t="str">
        <x:v>N/A</x:v>
      </x:c>
      <x:c r="AI78" s="12" t="n">
        <x:v>46274</x:v>
      </x:c>
      <x:c r="AJ78" s="4" t="str">
        <x:v>Public first-party business route researched; no delivery test or buyer authority confirmed</x:v>
      </x:c>
      <x:c r="AK78" s="4" t="str">
        <x:v>PeakCam × Utah Office of Tourism / Visit Utah: small ski-season pilot</x:v>
      </x:c>
      <x:c r="AL78" s="4" t="str">
        <x:v>Hi Utah Office of Tourism / Visit Utah team,
I’m Jared, the founder of PeakCam (peakcam.io), a small mountain-camera finder currently starting with three Colorado resorts. Later statewide routing and responsible trip-planning resource after Utah coverage exists.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79" ht="58" customHeight="1">
      <x:c r="A79" s="4" t="str">
        <x:v>PC-078</x:v>
      </x:c>
      <x:c r="B79" s="4" t="str">
        <x:v>P2 — after core proof</x:v>
      </x:c>
      <x:c r="C79" s="4" t="str">
        <x:v>Indy Pass</x:v>
      </x:c>
      <x:c r="D79" s="4" t="str">
        <x:v>Ski pass / ticket partner</x:v>
      </x:c>
      <x:c r="E79" s="4" t="str">
        <x:v>Jackson, New Hampshire</x:v>
      </x:c>
      <x:c r="F79" s="4" t="str">
        <x:v>https://www.indyskipass.com</x:v>
      </x:c>
      <x:c r="G79" s="4" t="str">
        <x:v>N/A</x:v>
      </x:c>
      <x:c r="H79" s="4" t="str">
        <x:v>N/A</x:v>
      </x:c>
      <x:c r="I79" s="4" t="str">
        <x:v>Support → business partnerships</x:v>
      </x:c>
      <x:c r="J79" s="4" t="str">
        <x:v>N/A</x:v>
      </x:c>
      <x:c r="K79" s="4" t="str">
        <x:v>N/A</x:v>
      </x:c>
      <x:c r="L79" s="4" t="str">
        <x:v>N/A</x:v>
      </x:c>
      <x:c r="M79" s="4" t="str">
        <x:v>https://www.indyskipass.com/contact</x:v>
      </x:c>
      <x:c r="N79" s="4" t="str">
        <x:v>N/A</x:v>
      </x:c>
      <x:c r="O79" s="4" t="str">
        <x:v>An approved, clearly disclosed resort-context referral link with merchant sub-ID tracking</x:v>
      </x:c>
      <x:c r="P79" s="4" t="str">
        <x:v>Net approved affiliate/referral commissions</x:v>
      </x:c>
      <x:c r="Q79" s="4" t="str">
        <x:v>$0 minimum; $0–300/month early planning range, traffic dependent</x:v>
      </x:c>
      <x:c r="R79" s="4" t="str">
        <x:v>10–25% (subjective)</x:v>
      </x:c>
      <x:c r="S79" s="4" t="n">
        <x:v>2</x:v>
      </x:c>
      <x:c r="T79" s="12" t="n">
        <x:v>46415</x:v>
      </x:c>
      <x:c r="U79" s="12" t="n">
        <x:v>46422</x:v>
      </x:c>
      <x:c r="V79" s="4" t="str">
        <x:v>Research ready — reverify before send</x:v>
      </x:c>
      <x:c r="W79" s="4" t="str">
        <x:v>Current page obscures email; not guessed. Allied resort discounts and consumer referrals do not establish a publisher affiliate program.</x:v>
      </x:c>
      <x:c r="X79" s="4" t="str">
        <x:v>Independent-resort camera discovery fits the audience; request business-partnership routing through the official contact channel.</x:v>
      </x:c>
      <x:c r="Y79" s="4" t="n">
        <x:v>3</x:v>
      </x:c>
      <x:c r="Z79" s="4" t="n">
        <x:v>4</x:v>
      </x:c>
      <x:c r="AA79" s="4" t="n">
        <x:v>3</x:v>
      </x:c>
      <x:c r="AB79" s="4" t="n">
        <x:v>4</x:v>
      </x:c>
      <x:c r="AC79" s="4" t="n">
        <x:v>3</x:v>
      </x:c>
      <x:c r="AD79" s="4" t="n">
        <x:f>Y79*Z79*AA79*AB79*AC79</x:f>
        <x:v>432</x:v>
      </x:c>
      <x:c r="AE79" s="4" t="str">
        <x:v>N/A</x:v>
      </x:c>
      <x:c r="AF79" s="4" t="str">
        <x:v>N/A</x:v>
      </x:c>
      <x:c r="AG79" s="4" t="str">
        <x:v>https://www.indyskipass.com/contact</x:v>
      </x:c>
      <x:c r="AH79" s="4" t="str">
        <x:v>N/A</x:v>
      </x:c>
      <x:c r="AI79" s="12" t="n">
        <x:v>46274</x:v>
      </x:c>
      <x:c r="AJ79" s="4" t="str">
        <x:v>Public first-party business route researched; no delivery test or buyer authority confirmed</x:v>
      </x:c>
      <x:c r="AK79" s="4" t="str">
        <x:v>PeakCam × Indy Pass: small ski-season pilot</x:v>
      </x:c>
      <x:c r="AL79" s="4" t="str">
        <x:v>Hi Indy Pass team,
I’m Jared, the founder of PeakCam (peakcam.io), a small mountain-camera finder currently starting with three Colorado resorts. Independent-resort camera discovery fits the audience; request business-partnership routing through the official contact channel.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0" ht="58" customHeight="1">
      <x:c r="A80" s="4" t="str">
        <x:v>PC-079</x:v>
      </x:c>
      <x:c r="B80" s="4" t="str">
        <x:v>P3 — later / discovery</x:v>
      </x:c>
      <x:c r="C80" s="4" t="str">
        <x:v>Mountain Collective</x:v>
      </x:c>
      <x:c r="D80" s="4" t="str">
        <x:v>Ski pass / ticket partner</x:v>
      </x:c>
      <x:c r="E80" s="4" t="str">
        <x:v>United States</x:v>
      </x:c>
      <x:c r="F80" s="4" t="str">
        <x:v>https://mountaincollective.com</x:v>
      </x:c>
      <x:c r="G80" s="4" t="str">
        <x:v>N/A</x:v>
      </x:c>
      <x:c r="H80" s="4" t="str">
        <x:v>N/A</x:v>
      </x:c>
      <x:c r="I80" s="4" t="str">
        <x:v>Marketing / partnerships (routing request)</x:v>
      </x:c>
      <x:c r="J80" s="4" t="str">
        <x:v>support@mountaincollective.com</x:v>
      </x:c>
      <x:c r="K80" s="4" t="str">
        <x:v>N/A</x:v>
      </x:c>
      <x:c r="L80" s="4" t="str">
        <x:v>877-328-2257</x:v>
      </x:c>
      <x:c r="M80" s="4" t="str">
        <x:v>https://mountaincollective.com/support-contact/</x:v>
      </x:c>
      <x:c r="N80" s="4" t="str">
        <x:v>N/A</x:v>
      </x:c>
      <x:c r="O80" s="4" t="str">
        <x:v>An approved, clearly disclosed resort-context referral link with merchant sub-ID tracking</x:v>
      </x:c>
      <x:c r="P80" s="4" t="str">
        <x:v>Net approved affiliate/referral commissions</x:v>
      </x:c>
      <x:c r="Q80" s="4" t="str">
        <x:v>$0 minimum; $0–300/month early planning range, traffic dependent</x:v>
      </x:c>
      <x:c r="R80" s="4" t="str">
        <x:v>10–25% (subjective)</x:v>
      </x:c>
      <x:c r="S80" s="4" t="n">
        <x:v>2</x:v>
      </x:c>
      <x:c r="T80" s="12" t="n">
        <x:v>46415</x:v>
      </x:c>
      <x:c r="U80" s="12" t="n">
        <x:v>46422</x:v>
      </x:c>
      <x:c r="V80" s="4" t="str">
        <x:v>Research ready — reverify before send</x:v>
      </x:c>
      <x:c r="W80" s="4" t="str">
        <x:v>No public publisher commission verified; support is a routing channel.</x:v>
      </x:c>
      <x:c r="X80" s="4" t="str">
        <x:v>Later passholder camera collection for covered destinations; ask for commercial routing, not assumed pass commissions.</x:v>
      </x:c>
      <x:c r="Y80" s="4" t="n">
        <x:v>2</x:v>
      </x:c>
      <x:c r="Z80" s="4" t="n">
        <x:v>3</x:v>
      </x:c>
      <x:c r="AA80" s="4" t="n">
        <x:v>3</x:v>
      </x:c>
      <x:c r="AB80" s="4" t="n">
        <x:v>4</x:v>
      </x:c>
      <x:c r="AC80" s="4" t="n">
        <x:v>2</x:v>
      </x:c>
      <x:c r="AD80" s="4" t="n">
        <x:f>Y80*Z80*AA80*AB80*AC80</x:f>
        <x:v>144</x:v>
      </x:c>
      <x:c r="AE80" s="4" t="str">
        <x:v>N/A</x:v>
      </x:c>
      <x:c r="AF80" s="4" t="str">
        <x:v>N/A</x:v>
      </x:c>
      <x:c r="AG80" s="4" t="str">
        <x:v>https://mountaincollective.com/support-contact/</x:v>
      </x:c>
      <x:c r="AH80" s="4" t="str">
        <x:v>N/A</x:v>
      </x:c>
      <x:c r="AI80" s="12" t="n">
        <x:v>46274</x:v>
      </x:c>
      <x:c r="AJ80" s="4" t="str">
        <x:v>Public first-party business route researched; no delivery test or buyer authority confirmed</x:v>
      </x:c>
      <x:c r="AK80" s="4" t="str">
        <x:v>PeakCam × Mountain Collective: small ski-season pilot</x:v>
      </x:c>
      <x:c r="AL80" s="4" t="str">
        <x:v>Hi Mountain Collective team,
I’m Jared, the founder of PeakCam (peakcam.io), a small mountain-camera finder currently starting with three Colorado resorts. Later passholder camera collection for covered destinations; ask for commercial routing, not assumed pass commissions.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1" ht="58" customHeight="1">
      <x:c r="A81" s="4" t="str">
        <x:v>PC-080</x:v>
      </x:c>
      <x:c r="B81" s="4" t="str">
        <x:v>P2 — after core proof</x:v>
      </x:c>
      <x:c r="C81" s="4" t="str">
        <x:v>CamStreamer</x:v>
      </x:c>
      <x:c r="D81" s="4" t="str">
        <x:v>Webcam infrastructure vendor</x:v>
      </x:c>
      <x:c r="E81" s="4" t="str">
        <x:v>Prague, Czech Republic</x:v>
      </x:c>
      <x:c r="F81" s="4" t="str">
        <x:v>https://camstreamer.com</x:v>
      </x:c>
      <x:c r="G81" s="4" t="str">
        <x:v>N/A</x:v>
      </x:c>
      <x:c r="H81" s="4" t="str">
        <x:v>N/A</x:v>
      </x:c>
      <x:c r="I81" s="4" t="str">
        <x:v>Sales / partner program</x:v>
      </x:c>
      <x:c r="J81" s="4" t="str">
        <x:v>sales@camstreamer.com</x:v>
      </x:c>
      <x:c r="K81" s="4" t="str">
        <x:v>sales@camstreamer.com</x:v>
      </x:c>
      <x:c r="L81" s="4" t="str">
        <x:v>N/A</x:v>
      </x:c>
      <x:c r="M81" s="4" t="str">
        <x:v>https://camstreamer.com/about-us</x:v>
      </x:c>
      <x:c r="N81" s="4" t="str">
        <x:v>N/A</x:v>
      </x:c>
      <x:c r="O81" s="4" t="str">
        <x:v>A 5–10 camera, owner-consented commercial distribution pilot with attribution and no stream proxy</x:v>
      </x:c>
      <x:c r="P81" s="4" t="str">
        <x:v>License / distribution / traffic exchange; vendor cost not assumed revenue</x:v>
      </x:c>
      <x:c r="Q81" s="4" t="str">
        <x:v>$0–500/month pilot cost ceiling, quote required; revenue not assumed</x:v>
      </x:c>
      <x:c r="R81" s="4" t="str">
        <x:v>15–35% (subjective)</x:v>
      </x:c>
      <x:c r="S81" s="4" t="n">
        <x:v>3</x:v>
      </x:c>
      <x:c r="T81" s="12" t="n">
        <x:v>46415</x:v>
      </x:c>
      <x:c r="U81" s="12" t="n">
        <x:v>46422</x:v>
      </x:c>
      <x:c r="V81" s="4" t="str">
        <x:v>Research ready — reverify before send</x:v>
      </x:c>
      <x:c r="W81" s="4" t="str">
        <x:v>Hardware/software reseller partnership does not confer rights to camera owners’ footage.</x:v>
      </x:c>
      <x:c r="X81" s="4" t="str">
        <x:v>Axis camera software and integration partner network could route to operators with authorized public feeds.</x:v>
      </x:c>
      <x:c r="Y81" s="4" t="n">
        <x:v>3</x:v>
      </x:c>
      <x:c r="Z81" s="4" t="n">
        <x:v>4</x:v>
      </x:c>
      <x:c r="AA81" s="4" t="n">
        <x:v>2</x:v>
      </x:c>
      <x:c r="AB81" s="4" t="n">
        <x:v>3</x:v>
      </x:c>
      <x:c r="AC81" s="4" t="n">
        <x:v>3</x:v>
      </x:c>
      <x:c r="AD81" s="4" t="n">
        <x:f>Y81*Z81*AA81*AB81*AC81</x:f>
        <x:v>216</x:v>
      </x:c>
      <x:c r="AE81" s="4" t="str">
        <x:v>N/A</x:v>
      </x:c>
      <x:c r="AF81" s="4" t="str">
        <x:v>N/A</x:v>
      </x:c>
      <x:c r="AG81" s="4" t="str">
        <x:v>https://camstreamer.com/about-us</x:v>
      </x:c>
      <x:c r="AH81" s="4" t="str">
        <x:v>https://camstreamer.com/become-partner</x:v>
      </x:c>
      <x:c r="AI81" s="12" t="n">
        <x:v>46274</x:v>
      </x:c>
      <x:c r="AJ81" s="4" t="str">
        <x:v>Public first-party business route researched; no delivery test or buyer authority confirmed</x:v>
      </x:c>
      <x:c r="AK81" s="4" t="str">
        <x:v>PeakCam × CamStreamer: small ski-season pilot</x:v>
      </x:c>
      <x:c r="AL81" s="4" t="str">
        <x:v>Hi CamStreamer team,
I’m Jared, founder of PeakCam (peakcam.io), a small Colorado-focused mountain-camera finder. Axis camera software and integration partner network could route to operators with authorized public feeds.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82" ht="58" customHeight="1">
      <x:c r="A82" s="4" t="str">
        <x:v>PC-081</x:v>
      </x:c>
      <x:c r="B82" s="4" t="str">
        <x:v>P3 — later / discovery</x:v>
      </x:c>
      <x:c r="C82" s="4" t="str">
        <x:v>feratel media technologies</x:v>
      </x:c>
      <x:c r="D82" s="4" t="str">
        <x:v>Webcam infrastructure vendor</x:v>
      </x:c>
      <x:c r="E82" s="4" t="str">
        <x:v>Innsbruck, Austria</x:v>
      </x:c>
      <x:c r="F82" s="4" t="str">
        <x:v>https://www.feratel.com</x:v>
      </x:c>
      <x:c r="G82" s="4" t="str">
        <x:v>N/A</x:v>
      </x:c>
      <x:c r="H82" s="4" t="str">
        <x:v>N/A</x:v>
      </x:c>
      <x:c r="I82" s="4" t="str">
        <x:v>Media distribution / commercial licensing</x:v>
      </x:c>
      <x:c r="J82" s="4" t="str">
        <x:v>info@feratel.at</x:v>
      </x:c>
      <x:c r="K82" s="4" t="str">
        <x:v>N/A</x:v>
      </x:c>
      <x:c r="L82" s="4" t="str">
        <x:v>+43 512 7280-0</x:v>
      </x:c>
      <x:c r="M82" s="4" t="str">
        <x:v>https://www.feratel.com/en/contact-us</x:v>
      </x:c>
      <x:c r="N82" s="4" t="str">
        <x:v>N/A</x:v>
      </x:c>
      <x:c r="O82" s="4" t="str">
        <x:v>A 5–10 camera, owner-consented commercial distribution pilot with attribution and no stream proxy</x:v>
      </x:c>
      <x:c r="P82" s="4" t="str">
        <x:v>License / distribution / traffic exchange; vendor cost not assumed revenue</x:v>
      </x:c>
      <x:c r="Q82" s="4" t="str">
        <x:v>$0–500/month pilot cost ceiling, quote required; revenue not assumed</x:v>
      </x:c>
      <x:c r="R82" s="4" t="str">
        <x:v>15–35% (subjective)</x:v>
      </x:c>
      <x:c r="S82" s="4" t="n">
        <x:v>3</x:v>
      </x:c>
      <x:c r="T82" s="12" t="n">
        <x:v>46422</x:v>
      </x:c>
      <x:c r="U82" s="12" t="n">
        <x:v>46429</x:v>
      </x:c>
      <x:c r="V82" s="4" t="str">
        <x:v>Research ready — reverify before send</x:v>
      </x:c>
      <x:c r="W82" s="4" t="str">
        <x:v>Commercial distribution and geographic availability require a quote; do not scrape portal images.</x:v>
      </x:c>
      <x:c r="X82" s="4" t="str">
        <x:v>Panorama-camera and tourism distribution operator; ask about a licensed US destination feed pilot.</x:v>
      </x:c>
      <x:c r="Y82" s="4" t="n">
        <x:v>2</x:v>
      </x:c>
      <x:c r="Z82" s="4" t="n">
        <x:v>3</x:v>
      </x:c>
      <x:c r="AA82" s="4" t="n">
        <x:v>2</x:v>
      </x:c>
      <x:c r="AB82" s="4" t="n">
        <x:v>3</x:v>
      </x:c>
      <x:c r="AC82" s="4" t="n">
        <x:v>2</x:v>
      </x:c>
      <x:c r="AD82" s="4" t="n">
        <x:f>Y82*Z82*AA82*AB82*AC82</x:f>
        <x:v>72</x:v>
      </x:c>
      <x:c r="AE82" s="4" t="str">
        <x:v>N/A</x:v>
      </x:c>
      <x:c r="AF82" s="4" t="str">
        <x:v>N/A</x:v>
      </x:c>
      <x:c r="AG82" s="4" t="str">
        <x:v>https://www.feratel.com/en/contact-us</x:v>
      </x:c>
      <x:c r="AH82" s="4" t="str">
        <x:v>N/A</x:v>
      </x:c>
      <x:c r="AI82" s="12" t="n">
        <x:v>46274</x:v>
      </x:c>
      <x:c r="AJ82" s="4" t="str">
        <x:v>Public first-party business route researched; no delivery test or buyer authority confirmed</x:v>
      </x:c>
      <x:c r="AK82" s="4" t="str">
        <x:v>PeakCam × feratel media technologies: small ski-season pilot</x:v>
      </x:c>
      <x:c r="AL82" s="4" t="str">
        <x:v>Hi feratel media technologies team,
I’m Jared, founder of PeakCam (peakcam.io), a small Colorado-focused mountain-camera finder. Panorama-camera and tourism distribution operator; ask about a licensed US destination feed pilot.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83" ht="58" customHeight="1">
      <x:c r="A83" s="4" t="str">
        <x:v>PC-082</x:v>
      </x:c>
      <x:c r="B83" s="4" t="str">
        <x:v>P2 — after core proof</x:v>
      </x:c>
      <x:c r="C83" s="4" t="str">
        <x:v>IPCamLive</x:v>
      </x:c>
      <x:c r="D83" s="4" t="str">
        <x:v>Webcam infrastructure vendor</x:v>
      </x:c>
      <x:c r="E83" s="4" t="str">
        <x:v>Online / international</x:v>
      </x:c>
      <x:c r="F83" s="4" t="str">
        <x:v>https://web.ipcamlive.com</x:v>
      </x:c>
      <x:c r="G83" s="4" t="str">
        <x:v>N/A</x:v>
      </x:c>
      <x:c r="H83" s="4" t="str">
        <x:v>N/A</x:v>
      </x:c>
      <x:c r="I83" s="4" t="str">
        <x:v>Support → commercial licensing</x:v>
      </x:c>
      <x:c r="J83" s="4" t="str">
        <x:v>support@ipcamlive.com</x:v>
      </x:c>
      <x:c r="K83" s="4" t="str">
        <x:v>N/A</x:v>
      </x:c>
      <x:c r="L83" s="4" t="str">
        <x:v>N/A</x:v>
      </x:c>
      <x:c r="M83" s="4" t="str">
        <x:v>https://web.ipcamlive.com/</x:v>
      </x:c>
      <x:c r="N83" s="4" t="str">
        <x:v>N/A</x:v>
      </x:c>
      <x:c r="O83" s="4" t="str">
        <x:v>A 5–10 camera, owner-consented commercial distribution pilot with attribution and no stream proxy</x:v>
      </x:c>
      <x:c r="P83" s="4" t="str">
        <x:v>License / distribution / traffic exchange; vendor cost not assumed revenue</x:v>
      </x:c>
      <x:c r="Q83" s="4" t="str">
        <x:v>$0–500/month pilot cost ceiling, quote required; revenue not assumed</x:v>
      </x:c>
      <x:c r="R83" s="4" t="str">
        <x:v>15–35% (subjective)</x:v>
      </x:c>
      <x:c r="S83" s="4" t="n">
        <x:v>3</x:v>
      </x:c>
      <x:c r="T83" s="12" t="n">
        <x:v>46422</x:v>
      </x:c>
      <x:c r="U83" s="12" t="n">
        <x:v>46429</x:v>
      </x:c>
      <x:c r="V83" s="4" t="str">
        <x:v>Research ready — reverify before send</x:v>
      </x:c>
      <x:c r="W83" s="4" t="str">
        <x:v>Published stream domain lock confirms that public reachability is not unrestricted embedding permission.</x:v>
      </x:c>
      <x:c r="X83" s="4" t="str">
        <x:v>Embedding infrastructure with domain locks; clarify owner-approved domain whitelisting and commercial embedding.</x:v>
      </x:c>
      <x:c r="Y83" s="4" t="n">
        <x:v>3</x:v>
      </x:c>
      <x:c r="Z83" s="4" t="n">
        <x:v>4</x:v>
      </x:c>
      <x:c r="AA83" s="4" t="n">
        <x:v>2</x:v>
      </x:c>
      <x:c r="AB83" s="4" t="n">
        <x:v>3</x:v>
      </x:c>
      <x:c r="AC83" s="4" t="n">
        <x:v>3</x:v>
      </x:c>
      <x:c r="AD83" s="4" t="n">
        <x:f>Y83*Z83*AA83*AB83*AC83</x:f>
        <x:v>216</x:v>
      </x:c>
      <x:c r="AE83" s="4" t="str">
        <x:v>N/A</x:v>
      </x:c>
      <x:c r="AF83" s="4" t="str">
        <x:v>N/A</x:v>
      </x:c>
      <x:c r="AG83" s="4" t="str">
        <x:v>https://web.ipcamlive.com/</x:v>
      </x:c>
      <x:c r="AH83" s="4" t="str">
        <x:v>https://web.ipcamlive.com/pricing</x:v>
      </x:c>
      <x:c r="AI83" s="12" t="n">
        <x:v>46274</x:v>
      </x:c>
      <x:c r="AJ83" s="4" t="str">
        <x:v>Public first-party business route researched; no delivery test or buyer authority confirmed</x:v>
      </x:c>
      <x:c r="AK83" s="4" t="str">
        <x:v>PeakCam × IPCamLive: small ski-season pilot</x:v>
      </x:c>
      <x:c r="AL83" s="4" t="str">
        <x:v>Hi IPCamLive team,
I’m Jared, founder of PeakCam (peakcam.io), a small Colorado-focused mountain-camera finder. Embedding infrastructure with domain locks; clarify owner-approved domain whitelisting and commercial embedding.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84" ht="58" customHeight="1">
      <x:c r="A84" s="4" t="str">
        <x:v>PC-083</x:v>
      </x:c>
      <x:c r="B84" s="4" t="str">
        <x:v>P3 — later / discovery</x:v>
      </x:c>
      <x:c r="C84" s="4" t="str">
        <x:v>POWDR</x:v>
      </x:c>
      <x:c r="D84" s="4" t="str">
        <x:v>Resort operator</x:v>
      </x:c>
      <x:c r="E84" s="4" t="str">
        <x:v>Park City, Utah</x:v>
      </x:c>
      <x:c r="F84" s="4" t="str">
        <x:v>https://www.powdr.com</x:v>
      </x:c>
      <x:c r="G84" s="4" t="str">
        <x:v>N/A</x:v>
      </x:c>
      <x:c r="H84" s="4" t="str">
        <x:v>N/A</x:v>
      </x:c>
      <x:c r="I84" s="4" t="str">
        <x:v>Marketing / partnerships (routing request)</x:v>
      </x:c>
      <x:c r="J84" s="4" t="str">
        <x:v>communications@powdr.com</x:v>
      </x:c>
      <x:c r="K84" s="4" t="str">
        <x:v>N/A</x:v>
      </x:c>
      <x:c r="L84" s="4" t="str">
        <x:v>435-658-5500</x:v>
      </x:c>
      <x:c r="M84" s="4" t="str">
        <x:v>https://www.visitparkcity.com/listing/powdr/30108/</x:v>
      </x:c>
      <x:c r="N84" s="4" t="str">
        <x:v>N/A</x:v>
      </x:c>
      <x:c r="O84" s="4" t="str">
        <x:v>An attributed, link-first Colorado camera discovery pilot; embeds only with written permission</x:v>
      </x:c>
      <x:c r="P84" s="4" t="str">
        <x:v>Free permission/referral pilot first; possible measured sponsorship later</x:v>
      </x:c>
      <x:c r="Q84" s="4" t="str">
        <x:v>$0 pilot; optional $100–300/month only after audience proof</x:v>
      </x:c>
      <x:c r="R84" s="4" t="str">
        <x:v>10–25% (subjective)</x:v>
      </x:c>
      <x:c r="S84" s="4" t="n">
        <x:v>2</x:v>
      </x:c>
      <x:c r="T84" s="12" t="n">
        <x:v>46422</x:v>
      </x:c>
      <x:c r="U84" s="12" t="n">
        <x:v>46429</x:v>
      </x:c>
      <x:c r="V84" s="4" t="str">
        <x:v>Research ready — reverify before send</x:v>
      </x:c>
      <x:c r="W84" s="4" t="str">
        <x:v>Public destination member directory verified; do not reuse 2016–2021 media contacts or historical resort portfolio lists.</x:v>
      </x:c>
      <x:c r="X84" s="4" t="str">
        <x:v>Operator routing for a scoped resort camera distribution pilot; current resort ownership must be verified individually.</x:v>
      </x:c>
      <x:c r="Y84" s="4" t="n">
        <x:v>2</x:v>
      </x:c>
      <x:c r="Z84" s="4" t="n">
        <x:v>3</x:v>
      </x:c>
      <x:c r="AA84" s="4" t="n">
        <x:v>3</x:v>
      </x:c>
      <x:c r="AB84" s="4" t="n">
        <x:v>3</x:v>
      </x:c>
      <x:c r="AC84" s="4" t="n">
        <x:v>2</x:v>
      </x:c>
      <x:c r="AD84" s="4" t="n">
        <x:f>Y84*Z84*AA84*AB84*AC84</x:f>
        <x:v>108</x:v>
      </x:c>
      <x:c r="AE84" s="4" t="str">
        <x:v>N/A</x:v>
      </x:c>
      <x:c r="AF84" s="4" t="str">
        <x:v>N/A</x:v>
      </x:c>
      <x:c r="AG84" s="4" t="str">
        <x:v>https://www.visitparkcity.com/listing/powdr/30108/</x:v>
      </x:c>
      <x:c r="AH84" s="4" t="str">
        <x:v>N/A</x:v>
      </x:c>
      <x:c r="AI84" s="12" t="n">
        <x:v>46274</x:v>
      </x:c>
      <x:c r="AJ84" s="4" t="str">
        <x:v>Public directory/business-profile route; reverify with organization</x:v>
      </x:c>
      <x:c r="AK84" s="4" t="str">
        <x:v>PeakCam × POWDR: small ski-season pilot</x:v>
      </x:c>
      <x:c r="AL84" s="4" t="str">
        <x:v>Hi POWDR team,
I’m Jared, the founder of PeakCam (peakcam.io), a small mountain-camera finder currently starting with three Colorado resorts. Operator routing for a scoped resort camera distribution pilot; current resort ownership must be verified individually.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5" ht="58" customHeight="1">
      <x:c r="A85" s="4" t="str">
        <x:v>PC-084</x:v>
      </x:c>
      <x:c r="B85" s="4" t="str">
        <x:v>P3 — later / discovery</x:v>
      </x:c>
      <x:c r="C85" s="4" t="str">
        <x:v>GoPro</x:v>
      </x:c>
      <x:c r="D85" s="4" t="str">
        <x:v>Outdoor electronics / affiliate</x:v>
      </x:c>
      <x:c r="E85" s="4" t="str">
        <x:v>San Mateo, California</x:v>
      </x:c>
      <x:c r="F85" s="4" t="str">
        <x:v>https://gopro.com</x:v>
      </x:c>
      <x:c r="G85" s="4" t="str">
        <x:v>N/A</x:v>
      </x:c>
      <x:c r="H85" s="4" t="str">
        <x:v>N/A</x:v>
      </x:c>
      <x:c r="I85" s="4" t="str">
        <x:v>Affiliate program</x:v>
      </x:c>
      <x:c r="J85" s="4" t="str">
        <x:v>N/A</x:v>
      </x:c>
      <x:c r="K85" s="4" t="str">
        <x:v>N/A</x:v>
      </x:c>
      <x:c r="L85" s="4" t="str">
        <x:v>N/A</x:v>
      </x:c>
      <x:c r="M85" s="4" t="str">
        <x:v>https://gopro.com/en/dk/legal/gopro-affiliate-program</x:v>
      </x:c>
      <x:c r="N85" s="4" t="str">
        <x:v>N/A</x:v>
      </x:c>
      <x:c r="O85" s="4" t="str">
        <x:v>An approved, clearly disclosed resort-context referral link with merchant sub-ID tracking</x:v>
      </x:c>
      <x:c r="P85" s="4" t="str">
        <x:v>Net approved affiliate/referral commissions</x:v>
      </x:c>
      <x:c r="Q85" s="4" t="str">
        <x:v>$0 minimum; $0–300/month early planning range, traffic dependent</x:v>
      </x:c>
      <x:c r="R85" s="4" t="str">
        <x:v>10–25% (subjective)</x:v>
      </x:c>
      <x:c r="S85" s="4" t="n">
        <x:v>2</x:v>
      </x:c>
      <x:c r="T85" s="12" t="n">
        <x:v>46422</x:v>
      </x:c>
      <x:c r="U85" s="12" t="n">
        <x:v>46429</x:v>
      </x:c>
      <x:c r="V85" s="4" t="str">
        <x:v>Research ready — reverify before send</x:v>
      </x:c>
      <x:c r="W85" s="4" t="str">
        <x:v>Official localized page states 3%; US acceptance/rate must be confirmed in program. No purchased camera needed.</x:v>
      </x:c>
      <x:c r="X85" s="4" t="str">
        <x:v>Published camera affiliate program for future original ski-video content; much lower priority than rental intent.</x:v>
      </x:c>
      <x:c r="Y85" s="4" t="n">
        <x:v>2</x:v>
      </x:c>
      <x:c r="Z85" s="4" t="n">
        <x:v>3</x:v>
      </x:c>
      <x:c r="AA85" s="4" t="n">
        <x:v>3</x:v>
      </x:c>
      <x:c r="AB85" s="4" t="n">
        <x:v>4</x:v>
      </x:c>
      <x:c r="AC85" s="4" t="n">
        <x:v>2</x:v>
      </x:c>
      <x:c r="AD85" s="4" t="n">
        <x:f>Y85*Z85*AA85*AB85*AC85</x:f>
        <x:v>144</x:v>
      </x:c>
      <x:c r="AE85" s="4" t="str">
        <x:v>N/A</x:v>
      </x:c>
      <x:c r="AF85" s="4" t="str">
        <x:v>N/A</x:v>
      </x:c>
      <x:c r="AG85" s="4" t="str">
        <x:v>https://gopro.com/en/dk/legal/gopro-affiliate-program</x:v>
      </x:c>
      <x:c r="AH85" s="4" t="str">
        <x:v>https://gopro.com/en/us/legal/gopro-affiliate-program</x:v>
      </x:c>
      <x:c r="AI85" s="12" t="n">
        <x:v>46274</x:v>
      </x:c>
      <x:c r="AJ85" s="4" t="str">
        <x:v>Public first-party business route researched; no delivery test or buyer authority confirmed</x:v>
      </x:c>
      <x:c r="AK85" s="4" t="str">
        <x:v>PeakCam × GoPro: small ski-season pilot</x:v>
      </x:c>
      <x:c r="AL85" s="4" t="str">
        <x:v>Hi GoPro team,
I’m Jared, the founder of PeakCam (peakcam.io), a small mountain-camera finder currently starting with three Colorado resorts. Published camera affiliate program for future original ski-video content; much lower priority than rental intent.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6" ht="58" customHeight="1">
      <x:c r="A86" s="4" t="str">
        <x:v>PC-085</x:v>
      </x:c>
      <x:c r="B86" s="4" t="str">
        <x:v>P2 — after core proof</x:v>
      </x:c>
      <x:c r="C86" s="4" t="str">
        <x:v>Summit Express</x:v>
      </x:c>
      <x:c r="D86" s="4" t="str">
        <x:v>Local transportation</x:v>
      </x:c>
      <x:c r="E86" s="4" t="str">
        <x:v>Summit County, Colorado</x:v>
      </x:c>
      <x:c r="F86" s="4" t="str">
        <x:v>https://www.summitexpress.com</x:v>
      </x:c>
      <x:c r="G86" s="4" t="str">
        <x:v>N/A</x:v>
      </x:c>
      <x:c r="H86" s="4" t="str">
        <x:v>N/A</x:v>
      </x:c>
      <x:c r="I86" s="4" t="str">
        <x:v>Marketing / partnerships (routing request)</x:v>
      </x:c>
      <x:c r="J86" s="4" t="str">
        <x:v>N/A</x:v>
      </x:c>
      <x:c r="K86" s="4" t="str">
        <x:v>N/A</x:v>
      </x:c>
      <x:c r="L86" s="4" t="str">
        <x:v>970-668-6000</x:v>
      </x:c>
      <x:c r="M86" s="4" t="str">
        <x:v>https://wtd.summitexpress.com/</x:v>
      </x:c>
      <x:c r="N86" s="4" t="str">
        <x:v>N/A</x:v>
      </x:c>
      <x:c r="O86" s="4" t="str">
        <x:v>One labeled nearby-business placement on a relevant resort page with a monthly click report</x:v>
      </x:c>
      <x:c r="P86" s="4" t="str">
        <x:v>Local sponsor / qualified referral</x:v>
      </x:c>
      <x:c r="Q86" s="4" t="str">
        <x:v>$50–150/month pilot; no promised bookings</x:v>
      </x:c>
      <x:c r="R86" s="4" t="str">
        <x:v>15–30% (subjective)</x:v>
      </x:c>
      <x:c r="S86" s="4" t="n">
        <x:v>2</x:v>
      </x:c>
      <x:c r="T86" s="12" t="n">
        <x:v>46422</x:v>
      </x:c>
      <x:c r="U86" s="12" t="n">
        <x:v>46429</x:v>
      </x:c>
      <x:c r="V86" s="4" t="str">
        <x:v>Research ready — reverify before send</x:v>
      </x:c>
      <x:c r="W86" s="4" t="str">
        <x:v>Verified transport subdomain. Excluded similarly named logistics/limo companies with unrelated contacts.</x:v>
      </x:c>
      <x:c r="X86" s="4" t="str">
        <x:v>Denver airport to existing Summit County destination cluster; offer tracked transfer referrals or concierge camera links.</x:v>
      </x:c>
      <x:c r="Y86" s="4" t="n">
        <x:v>3</x:v>
      </x:c>
      <x:c r="Z86" s="4" t="n">
        <x:v>4</x:v>
      </x:c>
      <x:c r="AA86" s="4" t="n">
        <x:v>3</x:v>
      </x:c>
      <x:c r="AB86" s="4" t="n">
        <x:v>4</x:v>
      </x:c>
      <x:c r="AC86" s="4" t="n">
        <x:v>3</x:v>
      </x:c>
      <x:c r="AD86" s="4" t="n">
        <x:f>Y86*Z86*AA86*AB86*AC86</x:f>
        <x:v>432</x:v>
      </x:c>
      <x:c r="AE86" s="4" t="str">
        <x:v>N/A</x:v>
      </x:c>
      <x:c r="AF86" s="4" t="str">
        <x:v>N/A</x:v>
      </x:c>
      <x:c r="AG86" s="4" t="str">
        <x:v>https://wtd.summitexpress.com/</x:v>
      </x:c>
      <x:c r="AH86" s="4" t="str">
        <x:v>N/A</x:v>
      </x:c>
      <x:c r="AI86" s="12" t="n">
        <x:v>46274</x:v>
      </x:c>
      <x:c r="AJ86" s="4" t="str">
        <x:v>Public first-party business route researched; no delivery test or buyer authority confirmed</x:v>
      </x:c>
      <x:c r="AK86" s="4" t="str">
        <x:v>PeakCam × Summit Express: small ski-season pilot</x:v>
      </x:c>
      <x:c r="AL86" s="4" t="str">
        <x:v>Hi Summit Express team,
I’m Jared, the founder of PeakCam (peakcam.io), a small mountain-camera finder currently starting with three Colorado resorts. Denver airport to existing Summit County destination cluster; offer tracked transfer referrals or concierge camera links.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7" ht="58" customHeight="1">
      <x:c r="A87" s="4" t="str">
        <x:v>PC-086</x:v>
      </x:c>
      <x:c r="B87" s="4" t="str">
        <x:v>P3 — later / discovery</x:v>
      </x:c>
      <x:c r="C87" s="4" t="str">
        <x:v>Alpine Luxury Limo</x:v>
      </x:c>
      <x:c r="D87" s="4" t="str">
        <x:v>Local transportation</x:v>
      </x:c>
      <x:c r="E87" s="4" t="str">
        <x:v>Telluride / Montrose, Colorado</x:v>
      </x:c>
      <x:c r="F87" s="4" t="str">
        <x:v>https://alpineluxurylimo.com</x:v>
      </x:c>
      <x:c r="G87" s="4" t="str">
        <x:v>N/A</x:v>
      </x:c>
      <x:c r="H87" s="4" t="str">
        <x:v>N/A</x:v>
      </x:c>
      <x:c r="I87" s="4" t="str">
        <x:v>Marketing / partnerships (routing request)</x:v>
      </x:c>
      <x:c r="J87" s="4" t="str">
        <x:v>N/A</x:v>
      </x:c>
      <x:c r="K87" s="4" t="str">
        <x:v>N/A</x:v>
      </x:c>
      <x:c r="L87" s="4" t="str">
        <x:v>970-728-8750</x:v>
      </x:c>
      <x:c r="M87" s="4" t="str">
        <x:v>https://alpineluxurylimo.com/contact</x:v>
      </x:c>
      <x:c r="N87" s="4" t="str">
        <x:v>N/A</x:v>
      </x:c>
      <x:c r="O87" s="4" t="str">
        <x:v>One labeled nearby-business placement on a relevant resort page with a monthly click report</x:v>
      </x:c>
      <x:c r="P87" s="4" t="str">
        <x:v>Local sponsor / qualified referral</x:v>
      </x:c>
      <x:c r="Q87" s="4" t="str">
        <x:v>$50–150/month pilot; no promised bookings</x:v>
      </x:c>
      <x:c r="R87" s="4" t="str">
        <x:v>15–30% (subjective)</x:v>
      </x:c>
      <x:c r="S87" s="4" t="n">
        <x:v>2</x:v>
      </x:c>
      <x:c r="T87" s="12" t="n">
        <x:v>46429</x:v>
      </x:c>
      <x:c r="U87" s="12" t="n">
        <x:v>46436</x:v>
      </x:c>
      <x:c r="V87" s="4" t="str">
        <x:v>Research ready — reverify before send</x:v>
      </x:c>
      <x:c r="W87" s="4" t="str">
        <x:v>N/A</x:v>
      </x:c>
      <x:c r="X87" s="4" t="str">
        <x:v>Example future Telluride local-ad/referral account after real mountain traffic exists.</x:v>
      </x:c>
      <x:c r="Y87" s="4" t="n">
        <x:v>2</x:v>
      </x:c>
      <x:c r="Z87" s="4" t="n">
        <x:v>3</x:v>
      </x:c>
      <x:c r="AA87" s="4" t="n">
        <x:v>3</x:v>
      </x:c>
      <x:c r="AB87" s="4" t="n">
        <x:v>4</x:v>
      </x:c>
      <x:c r="AC87" s="4" t="n">
        <x:v>2</x:v>
      </x:c>
      <x:c r="AD87" s="4" t="n">
        <x:f>Y87*Z87*AA87*AB87*AC87</x:f>
        <x:v>144</x:v>
      </x:c>
      <x:c r="AE87" s="4" t="str">
        <x:v>N/A</x:v>
      </x:c>
      <x:c r="AF87" s="4" t="str">
        <x:v>N/A</x:v>
      </x:c>
      <x:c r="AG87" s="4" t="str">
        <x:v>https://alpineluxurylimo.com/contact</x:v>
      </x:c>
      <x:c r="AH87" s="4" t="str">
        <x:v>N/A</x:v>
      </x:c>
      <x:c r="AI87" s="12" t="n">
        <x:v>46274</x:v>
      </x:c>
      <x:c r="AJ87" s="4" t="str">
        <x:v>Public first-party business route researched; no delivery test or buyer authority confirmed</x:v>
      </x:c>
      <x:c r="AK87" s="4" t="str">
        <x:v>PeakCam × Alpine Luxury Limo: small ski-season pilot</x:v>
      </x:c>
      <x:c r="AL87" s="4" t="str">
        <x:v>Hi Alpine Luxury Limo team,
I’m Jared, the founder of PeakCam (peakcam.io), a small mountain-camera finder currently starting with three Colorado resorts. Example future Telluride local-ad/referral account after real mountain traffic exists.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8" ht="58" customHeight="1">
      <x:c r="A88" s="4" t="str">
        <x:v>PC-087</x:v>
      </x:c>
      <x:c r="B88" s="4" t="str">
        <x:v>P3 — later / discovery</x:v>
      </x:c>
      <x:c r="C88" s="4" t="str">
        <x:v>SnowPak</x:v>
      </x:c>
      <x:c r="D88" s="4" t="str">
        <x:v>Ski travel / packages</x:v>
      </x:c>
      <x:c r="E88" s="4" t="str">
        <x:v>Aspen, Colorado</x:v>
      </x:c>
      <x:c r="F88" s="4" t="str">
        <x:v>https://www.snowpak.com</x:v>
      </x:c>
      <x:c r="G88" s="4" t="str">
        <x:v>N/A</x:v>
      </x:c>
      <x:c r="H88" s="4" t="str">
        <x:v>N/A</x:v>
      </x:c>
      <x:c r="I88" s="4" t="str">
        <x:v>Marketing / partnerships (routing request)</x:v>
      </x:c>
      <x:c r="J88" s="4" t="str">
        <x:v>N/A</x:v>
      </x:c>
      <x:c r="K88" s="4" t="str">
        <x:v>N/A</x:v>
      </x:c>
      <x:c r="L88" s="4" t="str">
        <x:v>970-925-9500</x:v>
      </x:c>
      <x:c r="M88" s="4" t="str">
        <x:v>https://www.snowpak.com/about</x:v>
      </x:c>
      <x:c r="N88" s="4" t="str">
        <x:v>N/A</x:v>
      </x:c>
      <x:c r="O88" s="4" t="str">
        <x:v>An approved, clearly disclosed resort-context referral link with merchant sub-ID tracking</x:v>
      </x:c>
      <x:c r="P88" s="4" t="str">
        <x:v>Net approved affiliate/referral commissions</x:v>
      </x:c>
      <x:c r="Q88" s="4" t="str">
        <x:v>$0 minimum; $0–300/month early planning range, traffic dependent</x:v>
      </x:c>
      <x:c r="R88" s="4" t="str">
        <x:v>10–25% (subjective)</x:v>
      </x:c>
      <x:c r="S88" s="4" t="n">
        <x:v>2</x:v>
      </x:c>
      <x:c r="T88" s="12" t="n">
        <x:v>46429</x:v>
      </x:c>
      <x:c r="U88" s="12" t="n">
        <x:v>46436</x:v>
      </x:c>
      <x:c r="V88" s="4" t="str">
        <x:v>Research ready — reverify before send</x:v>
      </x:c>
      <x:c r="W88" s="4" t="str">
        <x:v>First-party about page gives current Aspen routing; older Denver contact and affiliate terms not assumed. Also a competitor.</x:v>
      </x:c>
      <x:c r="X88" s="4" t="str">
        <x:v>Established ski-package merchant; ask whether current publisher referrals are accepted.</x:v>
      </x:c>
      <x:c r="Y88" s="4" t="n">
        <x:v>2</x:v>
      </x:c>
      <x:c r="Z88" s="4" t="n">
        <x:v>3</x:v>
      </x:c>
      <x:c r="AA88" s="4" t="n">
        <x:v>3</x:v>
      </x:c>
      <x:c r="AB88" s="4" t="n">
        <x:v>4</x:v>
      </x:c>
      <x:c r="AC88" s="4" t="n">
        <x:v>2</x:v>
      </x:c>
      <x:c r="AD88" s="4" t="n">
        <x:f>Y88*Z88*AA88*AB88*AC88</x:f>
        <x:v>144</x:v>
      </x:c>
      <x:c r="AE88" s="4" t="str">
        <x:v>N/A</x:v>
      </x:c>
      <x:c r="AF88" s="4" t="str">
        <x:v>N/A</x:v>
      </x:c>
      <x:c r="AG88" s="4" t="str">
        <x:v>https://www.snowpak.com/about</x:v>
      </x:c>
      <x:c r="AH88" s="4" t="str">
        <x:v>N/A</x:v>
      </x:c>
      <x:c r="AI88" s="12" t="n">
        <x:v>46274</x:v>
      </x:c>
      <x:c r="AJ88" s="4" t="str">
        <x:v>Public first-party business route researched; no delivery test or buyer authority confirmed</x:v>
      </x:c>
      <x:c r="AK88" s="4" t="str">
        <x:v>PeakCam × SnowPak: small ski-season pilot</x:v>
      </x:c>
      <x:c r="AL88" s="4" t="str">
        <x:v>Hi SnowPak team,
I’m Jared, the founder of PeakCam (peakcam.io), a small mountain-camera finder currently starting with three Colorado resorts. Established ski-package merchant; ask whether current publisher referrals are accepted.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89" ht="58" customHeight="1">
      <x:c r="A89" s="4" t="str">
        <x:v>PC-088</x:v>
      </x:c>
      <x:c r="B89" s="4" t="str">
        <x:v>P2 — after core proof</x:v>
      </x:c>
      <x:c r="C89" s="4" t="str">
        <x:v>Hestra Gloves USA</x:v>
      </x:c>
      <x:c r="D89" s="4" t="str">
        <x:v>Outdoor brand</x:v>
      </x:c>
      <x:c r="E89" s="4" t="str">
        <x:v>Arvada, Colorado</x:v>
      </x:c>
      <x:c r="F89" s="4" t="str">
        <x:v>https://www.hestragloves.us</x:v>
      </x:c>
      <x:c r="G89" s="4" t="str">
        <x:v>N/A</x:v>
      </x:c>
      <x:c r="H89" s="4" t="str">
        <x:v>N/A</x:v>
      </x:c>
      <x:c r="I89" s="4" t="str">
        <x:v>Marketing / partnerships (routing request)</x:v>
      </x:c>
      <x:c r="J89" s="4" t="str">
        <x:v>cs@hestrausa.com</x:v>
      </x:c>
      <x:c r="K89" s="4" t="str">
        <x:v>N/A</x:v>
      </x:c>
      <x:c r="L89" s="4" t="str">
        <x:v>303-384-9969</x:v>
      </x:c>
      <x:c r="M89" s="4" t="str">
        <x:v>https://www.hestragloves.us/pages/contact-us</x:v>
      </x:c>
      <x:c r="N89" s="4" t="str">
        <x:v>N/A</x:v>
      </x:c>
      <x:c r="O89" s="4" t="str">
        <x:v>A small, clearly labeled Colorado ski-planning placement or an approved affiliate test</x:v>
      </x:c>
      <x:c r="P89" s="4" t="str">
        <x:v>Sponsor / affiliate only where approved</x:v>
      </x:c>
      <x:c r="Q89" s="4" t="str">
        <x:v>$100–300/month pilot if fit and real reach; otherwise $0</x:v>
      </x:c>
      <x:c r="R89" s="4" t="str">
        <x:v>5–15% (subjective)</x:v>
      </x:c>
      <x:c r="S89" s="4" t="n">
        <x:v>3</x:v>
      </x:c>
      <x:c r="T89" s="12" t="n">
        <x:v>46429</x:v>
      </x:c>
      <x:c r="U89" s="12" t="n">
        <x:v>46436</x:v>
      </x:c>
      <x:c r="V89" s="4" t="str">
        <x:v>Research ready — reverify before send</x:v>
      </x:c>
      <x:c r="W89" s="4" t="str">
        <x:v>N/A</x:v>
      </x:c>
      <x:c r="X89" s="4" t="str">
        <x:v>Colorado headquarters and ski glove specialization; route to marketing for a small winter-readiness content test.</x:v>
      </x:c>
      <x:c r="Y89" s="4" t="n">
        <x:v>3</x:v>
      </x:c>
      <x:c r="Z89" s="4" t="n">
        <x:v>4</x:v>
      </x:c>
      <x:c r="AA89" s="4" t="n">
        <x:v>3</x:v>
      </x:c>
      <x:c r="AB89" s="4" t="n">
        <x:v>3</x:v>
      </x:c>
      <x:c r="AC89" s="4" t="n">
        <x:v>3</x:v>
      </x:c>
      <x:c r="AD89" s="4" t="n">
        <x:f>Y89*Z89*AA89*AB89*AC89</x:f>
        <x:v>324</x:v>
      </x:c>
      <x:c r="AE89" s="4" t="str">
        <x:v>N/A</x:v>
      </x:c>
      <x:c r="AF89" s="4" t="str">
        <x:v>N/A</x:v>
      </x:c>
      <x:c r="AG89" s="4" t="str">
        <x:v>https://www.hestragloves.us/pages/contact-us</x:v>
      </x:c>
      <x:c r="AH89" s="4" t="str">
        <x:v>N/A</x:v>
      </x:c>
      <x:c r="AI89" s="12" t="n">
        <x:v>46274</x:v>
      </x:c>
      <x:c r="AJ89" s="4" t="str">
        <x:v>Public first-party business route researched; no delivery test or buyer authority confirmed</x:v>
      </x:c>
      <x:c r="AK89" s="4" t="str">
        <x:v>PeakCam × Hestra Gloves USA: small ski-season pilot</x:v>
      </x:c>
      <x:c r="AL89" s="4" t="str">
        <x:v>Hi Hestra Gloves USA team,
I’m Jared, the founder of PeakCam (peakcam.io), a small mountain-camera finder currently starting with three Colorado resorts. Colorado headquarters and ski glove specialization; route to marketing for a small winter-readiness content test.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0" ht="58" customHeight="1">
      <x:c r="A90" s="4" t="str">
        <x:v>PC-089</x:v>
      </x:c>
      <x:c r="B90" s="4" t="str">
        <x:v>P3 — later / discovery</x:v>
      </x:c>
      <x:c r="C90" s="4" t="str">
        <x:v>Yakima</x:v>
      </x:c>
      <x:c r="D90" s="4" t="str">
        <x:v>Vehicle accessories brand</x:v>
      </x:c>
      <x:c r="E90" s="4" t="str">
        <x:v>Lake Oswego, Oregon</x:v>
      </x:c>
      <x:c r="F90" s="4" t="str">
        <x:v>https://yakima.com</x:v>
      </x:c>
      <x:c r="G90" s="4" t="str">
        <x:v>N/A</x:v>
      </x:c>
      <x:c r="H90" s="4" t="str">
        <x:v>N/A</x:v>
      </x:c>
      <x:c r="I90" s="4" t="str">
        <x:v>Marketing / partnerships (routing request)</x:v>
      </x:c>
      <x:c r="J90" s="4" t="str">
        <x:v>N/A</x:v>
      </x:c>
      <x:c r="K90" s="4" t="str">
        <x:v>N/A</x:v>
      </x:c>
      <x:c r="L90" s="4" t="str">
        <x:v>888-925-4621</x:v>
      </x:c>
      <x:c r="M90" s="4" t="str">
        <x:v>https://yakima.com/pages/contact-us</x:v>
      </x:c>
      <x:c r="N90" s="4" t="str">
        <x:v>N/A</x:v>
      </x:c>
      <x:c r="O90" s="4" t="str">
        <x:v>A small, clearly labeled Colorado ski-planning placement or an approved affiliate test</x:v>
      </x:c>
      <x:c r="P90" s="4" t="str">
        <x:v>Sponsor / affiliate only where approved</x:v>
      </x:c>
      <x:c r="Q90" s="4" t="str">
        <x:v>$100–300/month pilot if fit and real reach; otherwise $0</x:v>
      </x:c>
      <x:c r="R90" s="4" t="str">
        <x:v>5–15% (subjective)</x:v>
      </x:c>
      <x:c r="S90" s="4" t="n">
        <x:v>3</x:v>
      </x:c>
      <x:c r="T90" s="12" t="n">
        <x:v>46429</x:v>
      </x:c>
      <x:c r="U90" s="12" t="n">
        <x:v>46436</x:v>
      </x:c>
      <x:c r="V90" s="4" t="str">
        <x:v>Research ready — reverify before send</x:v>
      </x:c>
      <x:c r="W90" s="4" t="str">
        <x:v>General service routing; media-request help page links to Brand team. No affiliate commission verified.</x:v>
      </x:c>
      <x:c r="X90" s="4" t="str">
        <x:v>Ski-trip roof/cargo transport fit; later practical packing-content sponsorship, not a launch dependency.</x:v>
      </x:c>
      <x:c r="Y90" s="4" t="n">
        <x:v>2</x:v>
      </x:c>
      <x:c r="Z90" s="4" t="n">
        <x:v>3</x:v>
      </x:c>
      <x:c r="AA90" s="4" t="n">
        <x:v>3</x:v>
      </x:c>
      <x:c r="AB90" s="4" t="n">
        <x:v>3</x:v>
      </x:c>
      <x:c r="AC90" s="4" t="n">
        <x:v>2</x:v>
      </x:c>
      <x:c r="AD90" s="4" t="n">
        <x:f>Y90*Z90*AA90*AB90*AC90</x:f>
        <x:v>108</x:v>
      </x:c>
      <x:c r="AE90" s="4" t="str">
        <x:v>N/A</x:v>
      </x:c>
      <x:c r="AF90" s="4" t="str">
        <x:v>N/A</x:v>
      </x:c>
      <x:c r="AG90" s="4" t="str">
        <x:v>https://yakima.com/pages/contact-us</x:v>
      </x:c>
      <x:c r="AH90" s="4" t="str">
        <x:v>https://yakimasupport.zendesk.com/hc/en-us/articles/360006717572-Media-Requests</x:v>
      </x:c>
      <x:c r="AI90" s="12" t="n">
        <x:v>46274</x:v>
      </x:c>
      <x:c r="AJ90" s="4" t="str">
        <x:v>Public first-party business route researched; no delivery test or buyer authority confirmed</x:v>
      </x:c>
      <x:c r="AK90" s="4" t="str">
        <x:v>PeakCam × Yakima: small ski-season pilot</x:v>
      </x:c>
      <x:c r="AL90" s="4" t="str">
        <x:v>Hi Yakima team,
I’m Jared, the founder of PeakCam (peakcam.io), a small mountain-camera finder currently starting with three Colorado resorts. Ski-trip roof/cargo transport fit; later practical packing-content sponsorship, not a launch dependency.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1" ht="58" customHeight="1">
      <x:c r="A91" s="4" t="str">
        <x:v>PC-090</x:v>
      </x:c>
      <x:c r="B91" s="4" t="str">
        <x:v>P3 — later / discovery</x:v>
      </x:c>
      <x:c r="C91" s="4" t="str">
        <x:v>Dakine</x:v>
      </x:c>
      <x:c r="D91" s="4" t="str">
        <x:v>Outdoor travel gear brand</x:v>
      </x:c>
      <x:c r="E91" s="4" t="str">
        <x:v>United States</x:v>
      </x:c>
      <x:c r="F91" s="4" t="str">
        <x:v>https://www.dakine.com</x:v>
      </x:c>
      <x:c r="G91" s="4" t="str">
        <x:v>N/A</x:v>
      </x:c>
      <x:c r="H91" s="4" t="str">
        <x:v>N/A</x:v>
      </x:c>
      <x:c r="I91" s="4" t="str">
        <x:v>Marketing / partnerships (routing request)</x:v>
      </x:c>
      <x:c r="J91" s="4" t="str">
        <x:v>N/A</x:v>
      </x:c>
      <x:c r="K91" s="4" t="str">
        <x:v>N/A</x:v>
      </x:c>
      <x:c r="L91" s="4" t="str">
        <x:v>573-303-3100</x:v>
      </x:c>
      <x:c r="M91" s="4" t="str">
        <x:v>https://www.dakine.com/pages/contact</x:v>
      </x:c>
      <x:c r="N91" s="4" t="str">
        <x:v>N/A</x:v>
      </x:c>
      <x:c r="O91" s="4" t="str">
        <x:v>An approved, clearly disclosed resort-context referral link with merchant sub-ID tracking</x:v>
      </x:c>
      <x:c r="P91" s="4" t="str">
        <x:v>Net approved affiliate/referral commissions</x:v>
      </x:c>
      <x:c r="Q91" s="4" t="str">
        <x:v>$0 minimum; $0–300/month early planning range, traffic dependent</x:v>
      </x:c>
      <x:c r="R91" s="4" t="str">
        <x:v>10–25% (subjective)</x:v>
      </x:c>
      <x:c r="S91" s="4" t="n">
        <x:v>2</x:v>
      </x:c>
      <x:c r="T91" s="12" t="n">
        <x:v>46429</x:v>
      </x:c>
      <x:c r="U91" s="12" t="n">
        <x:v>46436</x:v>
      </x:c>
      <x:c r="V91" s="4" t="str">
        <x:v>Research ready — reverify before send</x:v>
      </x:c>
      <x:c r="W91" s="4" t="str">
        <x:v>Number serves online orders/returns; routing request, not a verified ad buyer.</x:v>
      </x:c>
      <x:c r="X91" s="4" t="str">
        <x:v>Ski bags and trip gear fit; ask contact form to route to marketing only after an original packing guide exists.</x:v>
      </x:c>
      <x:c r="Y91" s="4" t="n">
        <x:v>2</x:v>
      </x:c>
      <x:c r="Z91" s="4" t="n">
        <x:v>3</x:v>
      </x:c>
      <x:c r="AA91" s="4" t="n">
        <x:v>3</x:v>
      </x:c>
      <x:c r="AB91" s="4" t="n">
        <x:v>4</x:v>
      </x:c>
      <x:c r="AC91" s="4" t="n">
        <x:v>2</x:v>
      </x:c>
      <x:c r="AD91" s="4" t="n">
        <x:f>Y91*Z91*AA91*AB91*AC91</x:f>
        <x:v>144</x:v>
      </x:c>
      <x:c r="AE91" s="4" t="str">
        <x:v>N/A</x:v>
      </x:c>
      <x:c r="AF91" s="4" t="str">
        <x:v>N/A</x:v>
      </x:c>
      <x:c r="AG91" s="4" t="str">
        <x:v>https://www.dakine.com/pages/contact</x:v>
      </x:c>
      <x:c r="AH91" s="4" t="str">
        <x:v>N/A</x:v>
      </x:c>
      <x:c r="AI91" s="12" t="n">
        <x:v>46274</x:v>
      </x:c>
      <x:c r="AJ91" s="4" t="str">
        <x:v>Public first-party business route researched; no delivery test or buyer authority confirmed</x:v>
      </x:c>
      <x:c r="AK91" s="4" t="str">
        <x:v>PeakCam × Dakine: small ski-season pilot</x:v>
      </x:c>
      <x:c r="AL91" s="4" t="str">
        <x:v>Hi Dakine team,
I’m Jared, the founder of PeakCam (peakcam.io), a small mountain-camera finder currently starting with three Colorado resorts. Ski bags and trip gear fit; ask contact form to route to marketing only after an original packing guide exists.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2" ht="58" customHeight="1">
      <x:c r="A92" s="4" t="str">
        <x:v>PC-091</x:v>
      </x:c>
      <x:c r="B92" s="4" t="str">
        <x:v>P3 — later / discovery</x:v>
      </x:c>
      <x:c r="C92" s="4" t="str">
        <x:v>CanDat Systems</x:v>
      </x:c>
      <x:c r="D92" s="4" t="str">
        <x:v>Webcam integration partner</x:v>
      </x:c>
      <x:c r="E92" s="4" t="str">
        <x:v>Vancouver, British Columbia; serves USA</x:v>
      </x:c>
      <x:c r="F92" s="4" t="str">
        <x:v>https://www.candatsystems.com</x:v>
      </x:c>
      <x:c r="G92" s="4" t="str">
        <x:v>N/A</x:v>
      </x:c>
      <x:c r="H92" s="4" t="str">
        <x:v>N/A</x:v>
      </x:c>
      <x:c r="I92" s="4" t="str">
        <x:v>Camera integration / business development</x:v>
      </x:c>
      <x:c r="J92" s="4" t="str">
        <x:v>camstreamer@candatsystems.com</x:v>
      </x:c>
      <x:c r="K92" s="4" t="str">
        <x:v>N/A</x:v>
      </x:c>
      <x:c r="L92" s="4" t="str">
        <x:v>+1 236-466-9011</x:v>
      </x:c>
      <x:c r="M92" s="4" t="str">
        <x:v>https://camstreamer.com/partners</x:v>
      </x:c>
      <x:c r="N92" s="4" t="str">
        <x:v>N/A</x:v>
      </x:c>
      <x:c r="O92" s="4" t="str">
        <x:v>A 5–10 camera, owner-consented commercial distribution pilot with attribution and no stream proxy</x:v>
      </x:c>
      <x:c r="P92" s="4" t="str">
        <x:v>License / distribution / traffic exchange; vendor cost not assumed revenue</x:v>
      </x:c>
      <x:c r="Q92" s="4" t="str">
        <x:v>$0–500/month pilot cost ceiling, quote required; revenue not assumed</x:v>
      </x:c>
      <x:c r="R92" s="4" t="str">
        <x:v>15–35% (subjective)</x:v>
      </x:c>
      <x:c r="S92" s="4" t="n">
        <x:v>3</x:v>
      </x:c>
      <x:c r="T92" s="12" t="n">
        <x:v>46436</x:v>
      </x:c>
      <x:c r="U92" s="12" t="n">
        <x:v>46443</x:v>
      </x:c>
      <x:c r="V92" s="4" t="str">
        <x:v>Research ready — reverify before send</x:v>
      </x:c>
      <x:c r="W92" s="4" t="str">
        <x:v>Listed by CamStreamer as camera design, installation and Axis-certified service partner; content rights remain with owners.</x:v>
      </x:c>
      <x:c r="X92" s="4" t="str">
        <x:v>Camera integrator with US service; introductions to owners may be more attainable than blanket resort licensing.</x:v>
      </x:c>
      <x:c r="Y92" s="4" t="n">
        <x:v>2</x:v>
      </x:c>
      <x:c r="Z92" s="4" t="n">
        <x:v>3</x:v>
      </x:c>
      <x:c r="AA92" s="4" t="n">
        <x:v>2</x:v>
      </x:c>
      <x:c r="AB92" s="4" t="n">
        <x:v>3</x:v>
      </x:c>
      <x:c r="AC92" s="4" t="n">
        <x:v>2</x:v>
      </x:c>
      <x:c r="AD92" s="4" t="n">
        <x:f>Y92*Z92*AA92*AB92*AC92</x:f>
        <x:v>72</x:v>
      </x:c>
      <x:c r="AE92" s="4" t="str">
        <x:v>N/A</x:v>
      </x:c>
      <x:c r="AF92" s="4" t="str">
        <x:v>N/A</x:v>
      </x:c>
      <x:c r="AG92" s="4" t="str">
        <x:v>https://camstreamer.com/partners</x:v>
      </x:c>
      <x:c r="AH92" s="4" t="str">
        <x:v>N/A</x:v>
      </x:c>
      <x:c r="AI92" s="12" t="n">
        <x:v>46274</x:v>
      </x:c>
      <x:c r="AJ92" s="4" t="str">
        <x:v>Public first-party business route researched; no delivery test or buyer authority confirmed</x:v>
      </x:c>
      <x:c r="AK92" s="4" t="str">
        <x:v>PeakCam × CanDat Systems: small ski-season pilot</x:v>
      </x:c>
      <x:c r="AL92" s="4" t="str">
        <x:v>Hi CanDat Systems team,
I’m Jared, founder of PeakCam (peakcam.io), a small Colorado-focused mountain-camera finder. Camera integrator with US service; introductions to owners may be more attainable than blanket resort licensing.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93" ht="58" customHeight="1">
      <x:c r="A93" s="4" t="str">
        <x:v>PC-092</x:v>
      </x:c>
      <x:c r="B93" s="4" t="str">
        <x:v>P3 — later / discovery</x:v>
      </x:c>
      <x:c r="C93" s="4" t="str">
        <x:v>Dotworkz Systems</x:v>
      </x:c>
      <x:c r="D93" s="4" t="str">
        <x:v>Webcam hardware / integration</x:v>
      </x:c>
      <x:c r="E93" s="4" t="str">
        <x:v>Santee, California</x:v>
      </x:c>
      <x:c r="F93" s="4" t="str">
        <x:v>https://dotworkz.com</x:v>
      </x:c>
      <x:c r="G93" s="4" t="str">
        <x:v>Ahmed</x:v>
      </x:c>
      <x:c r="H93" s="4" t="str">
        <x:v>Listed partner contact</x:v>
      </x:c>
      <x:c r="I93" s="4" t="str">
        <x:v>Partner sales</x:v>
      </x:c>
      <x:c r="J93" s="4" t="str">
        <x:v>ahmed@dotworkz.com</x:v>
      </x:c>
      <x:c r="K93" s="4" t="str">
        <x:v>N/A</x:v>
      </x:c>
      <x:c r="L93" s="4" t="str">
        <x:v>619-270-8417</x:v>
      </x:c>
      <x:c r="M93" s="4" t="str">
        <x:v>https://camstreamer.com/partners</x:v>
      </x:c>
      <x:c r="N93" s="4" t="str">
        <x:v>N/A</x:v>
      </x:c>
      <x:c r="O93" s="4" t="str">
        <x:v>A 5–10 camera, owner-consented commercial distribution pilot with attribution and no stream proxy</x:v>
      </x:c>
      <x:c r="P93" s="4" t="str">
        <x:v>License / distribution / traffic exchange; vendor cost not assumed revenue</x:v>
      </x:c>
      <x:c r="Q93" s="4" t="str">
        <x:v>$0–500/month pilot cost ceiling, quote required; revenue not assumed</x:v>
      </x:c>
      <x:c r="R93" s="4" t="str">
        <x:v>15–35% (subjective)</x:v>
      </x:c>
      <x:c r="S93" s="4" t="n">
        <x:v>3</x:v>
      </x:c>
      <x:c r="T93" s="12" t="n">
        <x:v>46436</x:v>
      </x:c>
      <x:c r="U93" s="12" t="n">
        <x:v>46443</x:v>
      </x:c>
      <x:c r="V93" s="4" t="str">
        <x:v>Research ready — reverify before send</x:v>
      </x:c>
      <x:c r="W93" s="4" t="str">
        <x:v>First name only as published; no surname or executive title inferred.</x:v>
      </x:c>
      <x:c r="X93" s="4" t="str">
        <x:v>Outdoor camera infrastructure referral possibility; ask for a suitable mountain deployment introduction.</x:v>
      </x:c>
      <x:c r="Y93" s="4" t="n">
        <x:v>2</x:v>
      </x:c>
      <x:c r="Z93" s="4" t="n">
        <x:v>3</x:v>
      </x:c>
      <x:c r="AA93" s="4" t="n">
        <x:v>2</x:v>
      </x:c>
      <x:c r="AB93" s="4" t="n">
        <x:v>3</x:v>
      </x:c>
      <x:c r="AC93" s="4" t="n">
        <x:v>2</x:v>
      </x:c>
      <x:c r="AD93" s="4" t="n">
        <x:f>Y93*Z93*AA93*AB93*AC93</x:f>
        <x:v>72</x:v>
      </x:c>
      <x:c r="AE93" s="4" t="str">
        <x:v>N/A</x:v>
      </x:c>
      <x:c r="AF93" s="4" t="str">
        <x:v>N/A</x:v>
      </x:c>
      <x:c r="AG93" s="4" t="str">
        <x:v>https://camstreamer.com/partners</x:v>
      </x:c>
      <x:c r="AH93" s="4" t="str">
        <x:v>N/A</x:v>
      </x:c>
      <x:c r="AI93" s="12" t="n">
        <x:v>46274</x:v>
      </x:c>
      <x:c r="AJ93" s="4" t="str">
        <x:v>Public first-party business route researched; no delivery test or buyer authority confirmed</x:v>
      </x:c>
      <x:c r="AK93" s="4" t="str">
        <x:v>PeakCam × Dotworkz Systems: small ski-season pilot</x:v>
      </x:c>
      <x:c r="AL93" s="4" t="str">
        <x:v>Hi Ahmed,
I’m Jared, founder of PeakCam (peakcam.io), a small Colorado-focused mountain-camera finder. Outdoor camera infrastructure referral possibility; ask for a suitable mountain deployment introduction.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94" ht="58" customHeight="1">
      <x:c r="A94" s="4" t="str">
        <x:v>PC-093</x:v>
      </x:c>
      <x:c r="B94" s="4" t="str">
        <x:v>P3 — later / discovery</x:v>
      </x:c>
      <x:c r="C94" s="4" t="str">
        <x:v>Netwavz</x:v>
      </x:c>
      <x:c r="D94" s="4" t="str">
        <x:v>Webcam integration partner</x:v>
      </x:c>
      <x:c r="E94" s="4" t="str">
        <x:v>Cape Charles, Virginia</x:v>
      </x:c>
      <x:c r="F94" s="4" t="str">
        <x:v>https://netwavz.com</x:v>
      </x:c>
      <x:c r="G94" s="4" t="str">
        <x:v>N/A</x:v>
      </x:c>
      <x:c r="H94" s="4" t="str">
        <x:v>N/A</x:v>
      </x:c>
      <x:c r="I94" s="4" t="str">
        <x:v>Camera integration / sales</x:v>
      </x:c>
      <x:c r="J94" s="4" t="str">
        <x:v>sales@netwavz.com</x:v>
      </x:c>
      <x:c r="K94" s="4" t="str">
        <x:v>sales@netwavz.com</x:v>
      </x:c>
      <x:c r="L94" s="4" t="str">
        <x:v>757-695-5450</x:v>
      </x:c>
      <x:c r="M94" s="4" t="str">
        <x:v>https://camstreamer.com/partners</x:v>
      </x:c>
      <x:c r="N94" s="4" t="str">
        <x:v>N/A</x:v>
      </x:c>
      <x:c r="O94" s="4" t="str">
        <x:v>A 5–10 camera, owner-consented commercial distribution pilot with attribution and no stream proxy</x:v>
      </x:c>
      <x:c r="P94" s="4" t="str">
        <x:v>License / distribution / traffic exchange; vendor cost not assumed revenue</x:v>
      </x:c>
      <x:c r="Q94" s="4" t="str">
        <x:v>$0–500/month pilot cost ceiling, quote required; revenue not assumed</x:v>
      </x:c>
      <x:c r="R94" s="4" t="str">
        <x:v>15–35% (subjective)</x:v>
      </x:c>
      <x:c r="S94" s="4" t="n">
        <x:v>3</x:v>
      </x:c>
      <x:c r="T94" s="12" t="n">
        <x:v>46436</x:v>
      </x:c>
      <x:c r="U94" s="12" t="n">
        <x:v>46443</x:v>
      </x:c>
      <x:c r="V94" s="4" t="str">
        <x:v>Research ready — reverify before send</x:v>
      </x:c>
      <x:c r="W94" s="4" t="str">
        <x:v>Not a verified ski customer list; discovery prospect, not an established resort provider.</x:v>
      </x:c>
      <x:c r="X94" s="4" t="str">
        <x:v>Regional camera installer serving Virginia and North Carolina; future Southeast public-camera owner introductions.</x:v>
      </x:c>
      <x:c r="Y94" s="4" t="n">
        <x:v>2</x:v>
      </x:c>
      <x:c r="Z94" s="4" t="n">
        <x:v>3</x:v>
      </x:c>
      <x:c r="AA94" s="4" t="n">
        <x:v>2</x:v>
      </x:c>
      <x:c r="AB94" s="4" t="n">
        <x:v>3</x:v>
      </x:c>
      <x:c r="AC94" s="4" t="n">
        <x:v>2</x:v>
      </x:c>
      <x:c r="AD94" s="4" t="n">
        <x:f>Y94*Z94*AA94*AB94*AC94</x:f>
        <x:v>72</x:v>
      </x:c>
      <x:c r="AE94" s="4" t="str">
        <x:v>N/A</x:v>
      </x:c>
      <x:c r="AF94" s="4" t="str">
        <x:v>N/A</x:v>
      </x:c>
      <x:c r="AG94" s="4" t="str">
        <x:v>https://camstreamer.com/partners</x:v>
      </x:c>
      <x:c r="AH94" s="4" t="str">
        <x:v>N/A</x:v>
      </x:c>
      <x:c r="AI94" s="12" t="n">
        <x:v>46274</x:v>
      </x:c>
      <x:c r="AJ94" s="4" t="str">
        <x:v>Public first-party business route researched; no delivery test or buyer authority confirmed</x:v>
      </x:c>
      <x:c r="AK94" s="4" t="str">
        <x:v>PeakCam × Netwavz: small ski-season pilot</x:v>
      </x:c>
      <x:c r="AL94" s="4" t="str">
        <x:v>Hi Netwavz team,
I’m Jared, founder of PeakCam (peakcam.io), a small Colorado-focused mountain-camera finder. Regional camera installer serving Virginia and North Carolina; future Southeast public-camera owner introductions.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row>
    <x:row r="95" ht="58" customHeight="1">
      <x:c r="A95" s="4" t="str">
        <x:v>PC-094</x:v>
      </x:c>
      <x:c r="B95" s="4" t="str">
        <x:v>P2 — after core proof</x:v>
      </x:c>
      <x:c r="C95" s="4" t="str">
        <x:v>Aspen Chamber Resort Association</x:v>
      </x:c>
      <x:c r="D95" s="4" t="str">
        <x:v>Tourism / DMO</x:v>
      </x:c>
      <x:c r="E95" s="4" t="str">
        <x:v>Aspen, Colorado</x:v>
      </x:c>
      <x:c r="F95" s="4" t="str">
        <x:v>https://aspenchamber.org</x:v>
      </x:c>
      <x:c r="G95" s="4" t="str">
        <x:v>N/A</x:v>
      </x:c>
      <x:c r="H95" s="4" t="str">
        <x:v>N/A</x:v>
      </x:c>
      <x:c r="I95" s="4" t="str">
        <x:v>Marketing / partnerships (routing request)</x:v>
      </x:c>
      <x:c r="J95" s="4" t="str">
        <x:v>info@aspenchamber.org</x:v>
      </x:c>
      <x:c r="K95" s="4" t="str">
        <x:v>N/A</x:v>
      </x:c>
      <x:c r="L95" s="4" t="str">
        <x:v>970-925-1940</x:v>
      </x:c>
      <x:c r="M95" s="4" t="str">
        <x:v>https://aspenchamber.org/about/contact-us/</x:v>
      </x:c>
      <x:c r="N95" s="4" t="str">
        <x:v>N/A</x:v>
      </x:c>
      <x:c r="O95" s="4" t="str">
        <x:v>A concise, source-credited destination camera guide and trackable referral pilot</x:v>
      </x:c>
      <x:c r="P95" s="4" t="str">
        <x:v>Distribution/permissions first; destination sponsorship later</x:v>
      </x:c>
      <x:c r="Q95" s="4" t="str">
        <x:v>$0 pilot; $250–750/month hypothetical later</x:v>
      </x:c>
      <x:c r="R95" s="4" t="str">
        <x:v>8–20% (subjective)</x:v>
      </x:c>
      <x:c r="S95" s="4" t="n">
        <x:v>3</x:v>
      </x:c>
      <x:c r="T95" s="12" t="n">
        <x:v>46436</x:v>
      </x:c>
      <x:c r="U95" s="12" t="n">
        <x:v>46443</x:v>
      </x:c>
      <x:c r="V95" s="4" t="str">
        <x:v>Research ready — reverify before send</x:v>
      </x:c>
      <x:c r="W95" s="4" t="str">
        <x:v>N/A</x:v>
      </x:c>
      <x:c r="X95" s="4" t="str">
        <x:v>Destination visitor-services distribution and future lodging referrals; distinct from Aspen Skiing Company.</x:v>
      </x:c>
      <x:c r="Y95" s="4" t="n">
        <x:v>3</x:v>
      </x:c>
      <x:c r="Z95" s="4" t="n">
        <x:v>4</x:v>
      </x:c>
      <x:c r="AA95" s="4" t="n">
        <x:v>3</x:v>
      </x:c>
      <x:c r="AB95" s="4" t="n">
        <x:v>3</x:v>
      </x:c>
      <x:c r="AC95" s="4" t="n">
        <x:v>3</x:v>
      </x:c>
      <x:c r="AD95" s="4" t="n">
        <x:f>Y95*Z95*AA95*AB95*AC95</x:f>
        <x:v>324</x:v>
      </x:c>
      <x:c r="AE95" s="4" t="str">
        <x:v>N/A</x:v>
      </x:c>
      <x:c r="AF95" s="4" t="str">
        <x:v>N/A</x:v>
      </x:c>
      <x:c r="AG95" s="4" t="str">
        <x:v>https://aspenchamber.org/about/contact-us/</x:v>
      </x:c>
      <x:c r="AH95" s="4" t="str">
        <x:v>N/A</x:v>
      </x:c>
      <x:c r="AI95" s="12" t="n">
        <x:v>46274</x:v>
      </x:c>
      <x:c r="AJ95" s="4" t="str">
        <x:v>Public first-party business route researched; no delivery test or buyer authority confirmed</x:v>
      </x:c>
      <x:c r="AK95" s="4" t="str">
        <x:v>PeakCam × Aspen Chamber Resort Association: small ski-season pilot</x:v>
      </x:c>
      <x:c r="AL95" s="4" t="str">
        <x:v>Hi Aspen Chamber Resort Association team,
I’m Jared, the founder of PeakCam (peakcam.io), a small mountain-camera finder currently starting with three Colorado resorts. Destination visitor-services distribution and future lodging referrals; distinct from Aspen Skiing Company.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6" ht="58" customHeight="1">
      <x:c r="A96" s="4" t="str">
        <x:v>PC-095</x:v>
      </x:c>
      <x:c r="B96" s="4" t="str">
        <x:v>P2 — after core proof</x:v>
      </x:c>
      <x:c r="C96" s="4" t="str">
        <x:v>Snowmass Tourism</x:v>
      </x:c>
      <x:c r="D96" s="4" t="str">
        <x:v>Tourism / DMO</x:v>
      </x:c>
      <x:c r="E96" s="4" t="str">
        <x:v>Snowmass Village, Colorado</x:v>
      </x:c>
      <x:c r="F96" s="4" t="str">
        <x:v>https://www.gosnowmass.com</x:v>
      </x:c>
      <x:c r="G96" s="4" t="str">
        <x:v>Samantha Regan</x:v>
      </x:c>
      <x:c r="H96" s="4" t="str">
        <x:v>Marketing / promotional image contact</x:v>
      </x:c>
      <x:c r="I96" s="4" t="str">
        <x:v>Marketing / partnerships (routing request)</x:v>
      </x:c>
      <x:c r="J96" s="4" t="str">
        <x:v>SRegan@gosnowmass.com</x:v>
      </x:c>
      <x:c r="K96" s="4" t="str">
        <x:v>N/A</x:v>
      </x:c>
      <x:c r="L96" s="4" t="str">
        <x:v>N/A</x:v>
      </x:c>
      <x:c r="M96" s="4" t="str">
        <x:v>https://www.gosnowmass.com/about-us/media/media-photos/</x:v>
      </x:c>
      <x:c r="N96" s="4" t="str">
        <x:v>N/A</x:v>
      </x:c>
      <x:c r="O96" s="4" t="str">
        <x:v>A concise, source-credited destination camera guide and trackable referral pilot</x:v>
      </x:c>
      <x:c r="P96" s="4" t="str">
        <x:v>Distribution/permissions first; destination sponsorship later</x:v>
      </x:c>
      <x:c r="Q96" s="4" t="str">
        <x:v>$0 pilot; $250–750/month hypothetical later</x:v>
      </x:c>
      <x:c r="R96" s="4" t="str">
        <x:v>8–20% (subjective)</x:v>
      </x:c>
      <x:c r="S96" s="4" t="n">
        <x:v>3</x:v>
      </x:c>
      <x:c r="T96" s="12" t="n">
        <x:v>46436</x:v>
      </x:c>
      <x:c r="U96" s="12" t="n">
        <x:v>46443</x:v>
      </x:c>
      <x:c r="V96" s="4" t="str">
        <x:v>Research ready — reverify before send</x:v>
      </x:c>
      <x:c r="W96" s="4" t="str">
        <x:v>Editorial contact Sara Stookey Sanchez, sstookey@gosnowmass.com. Influencer program is trade-only, not promised cash sponsorship.</x:v>
      </x:c>
      <x:c r="X96" s="4" t="str">
        <x:v>Explicit distinction between editorial and promotional image permissions makes a scoped licensed-assets pilot actionable.</x:v>
      </x:c>
      <x:c r="Y96" s="4" t="n">
        <x:v>3</x:v>
      </x:c>
      <x:c r="Z96" s="4" t="n">
        <x:v>4</x:v>
      </x:c>
      <x:c r="AA96" s="4" t="n">
        <x:v>3</x:v>
      </x:c>
      <x:c r="AB96" s="4" t="n">
        <x:v>3</x:v>
      </x:c>
      <x:c r="AC96" s="4" t="n">
        <x:v>3</x:v>
      </x:c>
      <x:c r="AD96" s="4" t="n">
        <x:f>Y96*Z96*AA96*AB96*AC96</x:f>
        <x:v>324</x:v>
      </x:c>
      <x:c r="AE96" s="4" t="str">
        <x:v>N/A</x:v>
      </x:c>
      <x:c r="AF96" s="4" t="str">
        <x:v>N/A</x:v>
      </x:c>
      <x:c r="AG96" s="4" t="str">
        <x:v>https://www.gosnowmass.com/about-us/media/media-photos/</x:v>
      </x:c>
      <x:c r="AH96" s="4" t="str">
        <x:v>https://www.gosnowmass.com/about-us/media/</x:v>
      </x:c>
      <x:c r="AI96" s="12" t="n">
        <x:v>46274</x:v>
      </x:c>
      <x:c r="AJ96" s="4" t="str">
        <x:v>Public first-party business route researched; no delivery test or buyer authority confirmed</x:v>
      </x:c>
      <x:c r="AK96" s="4" t="str">
        <x:v>PeakCam × Snowmass Tourism: small ski-season pilot</x:v>
      </x:c>
      <x:c r="AL96" s="4" t="str">
        <x:v>Hi Samantha,
I’m Jared, the founder of PeakCam (peakcam.io), a small mountain-camera finder currently starting with three Colorado resorts. Explicit distinction between editorial and promotional image permissions makes a scoped licensed-assets pilot actionable.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7" ht="58" customHeight="1">
      <x:c r="A97" s="4" t="str">
        <x:v>PC-096</x:v>
      </x:c>
      <x:c r="B97" s="4" t="str">
        <x:v>P3 — later / discovery</x:v>
      </x:c>
      <x:c r="C97" s="4" t="str">
        <x:v>Colorado Tourism Office</x:v>
      </x:c>
      <x:c r="D97" s="4" t="str">
        <x:v>Tourism / DMO</x:v>
      </x:c>
      <x:c r="E97" s="4" t="str">
        <x:v>Denver, Colorado</x:v>
      </x:c>
      <x:c r="F97" s="4" t="str">
        <x:v>https://www.colorado.com</x:v>
      </x:c>
      <x:c r="G97" s="4" t="str">
        <x:v>Carly Holbrook</x:v>
      </x:c>
      <x:c r="H97" s="4" t="str">
        <x:v>Domestic public relations inquiries</x:v>
      </x:c>
      <x:c r="I97" s="4" t="str">
        <x:v>Marketing / partnerships (routing request)</x:v>
      </x:c>
      <x:c r="J97" s="4" t="str">
        <x:v>N/A</x:v>
      </x:c>
      <x:c r="K97" s="4" t="str">
        <x:v>N/A</x:v>
      </x:c>
      <x:c r="L97" s="4" t="str">
        <x:v>720-289-9366</x:v>
      </x:c>
      <x:c r="M97" s="4" t="str">
        <x:v>https://www.colorado.com/media-room</x:v>
      </x:c>
      <x:c r="N97" s="4" t="str">
        <x:v>N/A</x:v>
      </x:c>
      <x:c r="O97" s="4" t="str">
        <x:v>A concise, source-credited destination camera guide and trackable referral pilot</x:v>
      </x:c>
      <x:c r="P97" s="4" t="str">
        <x:v>Distribution/permissions first; destination sponsorship later</x:v>
      </x:c>
      <x:c r="Q97" s="4" t="str">
        <x:v>$0 pilot; $250–750/month hypothetical later</x:v>
      </x:c>
      <x:c r="R97" s="4" t="str">
        <x:v>8–20% (subjective)</x:v>
      </x:c>
      <x:c r="S97" s="4" t="n">
        <x:v>3</x:v>
      </x:c>
      <x:c r="T97" s="12" t="n">
        <x:v>46443</x:v>
      </x:c>
      <x:c r="U97" s="12" t="n">
        <x:v>46450</x:v>
      </x:c>
      <x:c r="V97" s="4" t="str">
        <x:v>Research ready — reverify before send</x:v>
      </x:c>
      <x:c r="W97" s="4" t="str">
        <x:v>Email is obfuscated in retrieved page; use official contact links or phone. Advertising page is inventory for sale by CTO, not evidence they buy ads.</x:v>
      </x:c>
      <x:c r="X97" s="4" t="str">
        <x:v>Statewide source/asset guidance and regional introductions after Colorado pilot proof.</x:v>
      </x:c>
      <x:c r="Y97" s="4" t="n">
        <x:v>2</x:v>
      </x:c>
      <x:c r="Z97" s="4" t="n">
        <x:v>3</x:v>
      </x:c>
      <x:c r="AA97" s="4" t="n">
        <x:v>3</x:v>
      </x:c>
      <x:c r="AB97" s="4" t="n">
        <x:v>3</x:v>
      </x:c>
      <x:c r="AC97" s="4" t="n">
        <x:v>2</x:v>
      </x:c>
      <x:c r="AD97" s="4" t="n">
        <x:f>Y97*Z97*AA97*AB97*AC97</x:f>
        <x:v>108</x:v>
      </x:c>
      <x:c r="AE97" s="4" t="str">
        <x:v>N/A</x:v>
      </x:c>
      <x:c r="AF97" s="4" t="str">
        <x:v>N/A</x:v>
      </x:c>
      <x:c r="AG97" s="4" t="str">
        <x:v>https://www.colorado.com/media-room</x:v>
      </x:c>
      <x:c r="AH97" s="4" t="str">
        <x:v>N/A</x:v>
      </x:c>
      <x:c r="AI97" s="12" t="n">
        <x:v>46274</x:v>
      </x:c>
      <x:c r="AJ97" s="4" t="str">
        <x:v>Public first-party business route researched; no delivery test or buyer authority confirmed</x:v>
      </x:c>
      <x:c r="AK97" s="4" t="str">
        <x:v>PeakCam × Colorado Tourism Office: small ski-season pilot</x:v>
      </x:c>
      <x:c r="AL97" s="4" t="str">
        <x:v>Hi Carly,
I’m Jared, the founder of PeakCam (peakcam.io), a small mountain-camera finder currently starting with three Colorado resorts. Statewide source/asset guidance and regional introductions after Colorado pilot proof.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8" ht="58" customHeight="1">
      <x:c r="A98" s="4" t="str">
        <x:v>PC-097</x:v>
      </x:c>
      <x:c r="B98" s="4" t="str">
        <x:v>P3 — later / discovery</x:v>
      </x:c>
      <x:c r="C98" s="4" t="str">
        <x:v>Visit Big Sky</x:v>
      </x:c>
      <x:c r="D98" s="4" t="str">
        <x:v>Tourism / DMO</x:v>
      </x:c>
      <x:c r="E98" s="4" t="str">
        <x:v>Big Sky, Montana</x:v>
      </x:c>
      <x:c r="F98" s="4" t="str">
        <x:v>https://www.visitbigsky.com</x:v>
      </x:c>
      <x:c r="G98" s="4" t="str">
        <x:v>N/A</x:v>
      </x:c>
      <x:c r="H98" s="4" t="str">
        <x:v>N/A</x:v>
      </x:c>
      <x:c r="I98" s="4" t="str">
        <x:v>Marketing / partnerships (routing request)</x:v>
      </x:c>
      <x:c r="J98" s="4" t="str">
        <x:v>info@visitbigskymt.com</x:v>
      </x:c>
      <x:c r="K98" s="4" t="str">
        <x:v>N/A</x:v>
      </x:c>
      <x:c r="L98" s="4" t="str">
        <x:v>406-995-3000</x:v>
      </x:c>
      <x:c r="M98" s="4" t="str">
        <x:v>https://www.visitbigsky.com/contact/</x:v>
      </x:c>
      <x:c r="N98" s="4" t="str">
        <x:v>N/A</x:v>
      </x:c>
      <x:c r="O98" s="4" t="str">
        <x:v>A concise, source-credited destination camera guide and trackable referral pilot</x:v>
      </x:c>
      <x:c r="P98" s="4" t="str">
        <x:v>Distribution/permissions first; destination sponsorship later</x:v>
      </x:c>
      <x:c r="Q98" s="4" t="str">
        <x:v>$0 pilot; $250–750/month hypothetical later</x:v>
      </x:c>
      <x:c r="R98" s="4" t="str">
        <x:v>8–20% (subjective)</x:v>
      </x:c>
      <x:c r="S98" s="4" t="n">
        <x:v>3</x:v>
      </x:c>
      <x:c r="T98" s="12" t="n">
        <x:v>46443</x:v>
      </x:c>
      <x:c r="U98" s="12" t="n">
        <x:v>46450</x:v>
      </x:c>
      <x:c r="V98" s="4" t="str">
        <x:v>Research ready — reverify before send</x:v>
      </x:c>
      <x:c r="W98" s="4" t="str">
        <x:v>N/A</x:v>
      </x:c>
      <x:c r="X98" s="4" t="str">
        <x:v>Future Montana visitor-camera collection and lodging concierge distribution.</x:v>
      </x:c>
      <x:c r="Y98" s="4" t="n">
        <x:v>2</x:v>
      </x:c>
      <x:c r="Z98" s="4" t="n">
        <x:v>3</x:v>
      </x:c>
      <x:c r="AA98" s="4" t="n">
        <x:v>3</x:v>
      </x:c>
      <x:c r="AB98" s="4" t="n">
        <x:v>3</x:v>
      </x:c>
      <x:c r="AC98" s="4" t="n">
        <x:v>2</x:v>
      </x:c>
      <x:c r="AD98" s="4" t="n">
        <x:f>Y98*Z98*AA98*AB98*AC98</x:f>
        <x:v>108</x:v>
      </x:c>
      <x:c r="AE98" s="4" t="str">
        <x:v>N/A</x:v>
      </x:c>
      <x:c r="AF98" s="4" t="str">
        <x:v>N/A</x:v>
      </x:c>
      <x:c r="AG98" s="4" t="str">
        <x:v>https://www.visitbigsky.com/contact/</x:v>
      </x:c>
      <x:c r="AH98" s="4" t="str">
        <x:v>N/A</x:v>
      </x:c>
      <x:c r="AI98" s="12" t="n">
        <x:v>46274</x:v>
      </x:c>
      <x:c r="AJ98" s="4" t="str">
        <x:v>Public first-party business route researched; no delivery test or buyer authority confirmed</x:v>
      </x:c>
      <x:c r="AK98" s="4" t="str">
        <x:v>PeakCam × Visit Big Sky: small ski-season pilot</x:v>
      </x:c>
      <x:c r="AL98" s="4" t="str">
        <x:v>Hi Visit Big Sky team,
I’m Jared, the founder of PeakCam (peakcam.io), a small mountain-camera finder currently starting with three Colorado resorts. Future Montana visitor-camera collection and lodging concierge distribution.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99" ht="58" customHeight="1">
      <x:c r="A99" s="4" t="str">
        <x:v>PC-098</x:v>
      </x:c>
      <x:c r="B99" s="4" t="str">
        <x:v>P3 — later / discovery</x:v>
      </x:c>
      <x:c r="C99" s="4" t="str">
        <x:v>Visit Montana</x:v>
      </x:c>
      <x:c r="D99" s="4" t="str">
        <x:v>Tourism / DMO</x:v>
      </x:c>
      <x:c r="E99" s="4" t="str">
        <x:v>Montana, United States</x:v>
      </x:c>
      <x:c r="F99" s="4" t="str">
        <x:v>https://visitmt.com</x:v>
      </x:c>
      <x:c r="G99" s="4" t="str">
        <x:v>N/A</x:v>
      </x:c>
      <x:c r="H99" s="4" t="str">
        <x:v>N/A</x:v>
      </x:c>
      <x:c r="I99" s="4" t="str">
        <x:v>Marketing / partnerships (routing request)</x:v>
      </x:c>
      <x:c r="J99" s="4" t="str">
        <x:v>N/A</x:v>
      </x:c>
      <x:c r="K99" s="4" t="str">
        <x:v>N/A</x:v>
      </x:c>
      <x:c r="L99" s="4" t="str">
        <x:v>800-847-4868</x:v>
      </x:c>
      <x:c r="M99" s="4" t="str">
        <x:v>https://visitmt.com/contact-us</x:v>
      </x:c>
      <x:c r="N99" s="4" t="str">
        <x:v>N/A</x:v>
      </x:c>
      <x:c r="O99" s="4" t="str">
        <x:v>A concise, source-credited destination camera guide and trackable referral pilot</x:v>
      </x:c>
      <x:c r="P99" s="4" t="str">
        <x:v>Distribution/permissions first; destination sponsorship later</x:v>
      </x:c>
      <x:c r="Q99" s="4" t="str">
        <x:v>$0 pilot; $250–750/month hypothetical later</x:v>
      </x:c>
      <x:c r="R99" s="4" t="str">
        <x:v>8–20% (subjective)</x:v>
      </x:c>
      <x:c r="S99" s="4" t="n">
        <x:v>3</x:v>
      </x:c>
      <x:c r="T99" s="12" t="n">
        <x:v>46443</x:v>
      </x:c>
      <x:c r="U99" s="12" t="n">
        <x:v>46450</x:v>
      </x:c>
      <x:c r="V99" s="4" t="str">
        <x:v>Research ready — reverify before send</x:v>
      </x:c>
      <x:c r="W99" s="4" t="str">
        <x:v>N/A</x:v>
      </x:c>
      <x:c r="X99" s="4" t="str">
        <x:v>Route later Montana public-camera and destination information partnership requests.</x:v>
      </x:c>
      <x:c r="Y99" s="4" t="n">
        <x:v>2</x:v>
      </x:c>
      <x:c r="Z99" s="4" t="n">
        <x:v>3</x:v>
      </x:c>
      <x:c r="AA99" s="4" t="n">
        <x:v>3</x:v>
      </x:c>
      <x:c r="AB99" s="4" t="n">
        <x:v>3</x:v>
      </x:c>
      <x:c r="AC99" s="4" t="n">
        <x:v>2</x:v>
      </x:c>
      <x:c r="AD99" s="4" t="n">
        <x:f>Y99*Z99*AA99*AB99*AC99</x:f>
        <x:v>108</x:v>
      </x:c>
      <x:c r="AE99" s="4" t="str">
        <x:v>N/A</x:v>
      </x:c>
      <x:c r="AF99" s="4" t="str">
        <x:v>N/A</x:v>
      </x:c>
      <x:c r="AG99" s="4" t="str">
        <x:v>https://visitmt.com/contact-us</x:v>
      </x:c>
      <x:c r="AH99" s="4" t="str">
        <x:v>N/A</x:v>
      </x:c>
      <x:c r="AI99" s="12" t="n">
        <x:v>46274</x:v>
      </x:c>
      <x:c r="AJ99" s="4" t="str">
        <x:v>Public first-party business route researched; no delivery test or buyer authority confirmed</x:v>
      </x:c>
      <x:c r="AK99" s="4" t="str">
        <x:v>PeakCam × Visit Montana: small ski-season pilot</x:v>
      </x:c>
      <x:c r="AL99" s="4" t="str">
        <x:v>Hi Visit Montana team,
I’m Jared, the founder of PeakCam (peakcam.io), a small mountain-camera finder currently starting with three Colorado resorts. Route later Montana public-camera and destination information partnership requests.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00" ht="58" customHeight="1">
      <x:c r="A100" s="4" t="str">
        <x:v>PC-099</x:v>
      </x:c>
      <x:c r="B100" s="4" t="str">
        <x:v>P3 — later / discovery</x:v>
      </x:c>
      <x:c r="C100" s="4" t="str">
        <x:v>Allianz Partners / Allianz Travel Insurance</x:v>
      </x:c>
      <x:c r="D100" s="4" t="str">
        <x:v>Travel insurance partner</x:v>
      </x:c>
      <x:c r="E100" s="4" t="str">
        <x:v>Richmond, Virginia</x:v>
      </x:c>
      <x:c r="F100" s="4" t="str">
        <x:v>https://www.allianztravelinsurance.com</x:v>
      </x:c>
      <x:c r="G100" s="4" t="str">
        <x:v>N/A</x:v>
      </x:c>
      <x:c r="H100" s="4" t="str">
        <x:v>N/A</x:v>
      </x:c>
      <x:c r="I100" s="4" t="str">
        <x:v>Affiliate / distribution partnerships</x:v>
      </x:c>
      <x:c r="J100" s="4" t="str">
        <x:v>N/A</x:v>
      </x:c>
      <x:c r="K100" s="4" t="str">
        <x:v>N/A</x:v>
      </x:c>
      <x:c r="L100" s="4" t="str">
        <x:v>N/A</x:v>
      </x:c>
      <x:c r="M100" s="4" t="str">
        <x:v>https://www.allianztravelinsurance.com/about</x:v>
      </x:c>
      <x:c r="N100" s="4" t="str">
        <x:v>N/A</x:v>
      </x:c>
      <x:c r="O100" s="4" t="str">
        <x:v>An approved, clearly disclosed resort-context referral link with merchant sub-ID tracking</x:v>
      </x:c>
      <x:c r="P100" s="4" t="str">
        <x:v>Net approved affiliate/referral commissions</x:v>
      </x:c>
      <x:c r="Q100" s="4" t="str">
        <x:v>$0 minimum; $0–300/month early planning range, traffic dependent</x:v>
      </x:c>
      <x:c r="R100" s="4" t="str">
        <x:v>10–25% (subjective)</x:v>
      </x:c>
      <x:c r="S100" s="4" t="n">
        <x:v>2</x:v>
      </x:c>
      <x:c r="T100" s="12" t="n">
        <x:v>46443</x:v>
      </x:c>
      <x:c r="U100" s="12" t="n">
        <x:v>46450</x:v>
      </x:c>
      <x:c r="V100" s="4" t="str">
        <x:v>Research ready — reverify before send</x:v>
      </x:c>
      <x:c r="W100" s="4" t="str">
        <x:v>Commission not verified. Travel-agent sales program is distinct from affiliate referral; licensing and ski exclusions require review.</x:v>
      </x:c>
      <x:c r="X100" s="4" t="str">
        <x:v>Published affiliate navigation and partner options; explore only compliant publisher referrals without giving coverage advice.</x:v>
      </x:c>
      <x:c r="Y100" s="4" t="n">
        <x:v>2</x:v>
      </x:c>
      <x:c r="Z100" s="4" t="n">
        <x:v>3</x:v>
      </x:c>
      <x:c r="AA100" s="4" t="n">
        <x:v>3</x:v>
      </x:c>
      <x:c r="AB100" s="4" t="n">
        <x:v>4</x:v>
      </x:c>
      <x:c r="AC100" s="4" t="n">
        <x:v>2</x:v>
      </x:c>
      <x:c r="AD100" s="4" t="n">
        <x:f>Y100*Z100*AA100*AB100*AC100</x:f>
        <x:v>144</x:v>
      </x:c>
      <x:c r="AE100" s="4" t="str">
        <x:v>N/A</x:v>
      </x:c>
      <x:c r="AF100" s="4" t="str">
        <x:v>N/A</x:v>
      </x:c>
      <x:c r="AG100" s="4" t="str">
        <x:v>https://www.allianztravelinsurance.com/about</x:v>
      </x:c>
      <x:c r="AH100" s="4" t="str">
        <x:v>https://www.allianztravelinsurance.com/about/partners.htm</x:v>
      </x:c>
      <x:c r="AI100" s="12" t="n">
        <x:v>46274</x:v>
      </x:c>
      <x:c r="AJ100" s="4" t="str">
        <x:v>Public first-party business route researched; no delivery test or buyer authority confirmed</x:v>
      </x:c>
      <x:c r="AK100" s="4" t="str">
        <x:v>PeakCam × Allianz Partners / Allianz Travel Insurance: small ski-season pilot</x:v>
      </x:c>
      <x:c r="AL100" s="4" t="str">
        <x:v>Hi Allianz Partners / Allianz Travel Insurance team,
I’m Jared, the founder of PeakCam (peakcam.io), a small mountain-camera finder currently starting with three Colorado resorts. Published affiliate navigation and partner options; explore only compliant publisher referrals without giving coverage advice.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row r="101" ht="58" customHeight="1">
      <x:c r="A101" s="4" t="str">
        <x:v>PC-100</x:v>
      </x:c>
      <x:c r="B101" s="4" t="str">
        <x:v>P2 — after core proof</x:v>
      </x:c>
      <x:c r="C101" s="4" t="str">
        <x:v>Booking.com</x:v>
      </x:c>
      <x:c r="D101" s="4" t="str">
        <x:v>Lodging / travel affiliate</x:v>
      </x:c>
      <x:c r="E101" s="4" t="str">
        <x:v>Amsterdam, Netherlands</x:v>
      </x:c>
      <x:c r="F101" s="4" t="str">
        <x:v>https://www.booking.com</x:v>
      </x:c>
      <x:c r="G101" s="4" t="str">
        <x:v>N/A</x:v>
      </x:c>
      <x:c r="H101" s="4" t="str">
        <x:v>N/A</x:v>
      </x:c>
      <x:c r="I101" s="4" t="str">
        <x:v>CJ publisher affiliate program</x:v>
      </x:c>
      <x:c r="J101" s="4" t="str">
        <x:v>N/A</x:v>
      </x:c>
      <x:c r="K101" s="4" t="str">
        <x:v>N/A</x:v>
      </x:c>
      <x:c r="L101" s="4" t="str">
        <x:v>N/A</x:v>
      </x:c>
      <x:c r="M101" s="4" t="str">
        <x:v>https://www.booking.com/affiliate-program/v2/index.html</x:v>
      </x:c>
      <x:c r="N101" s="4" t="str">
        <x:v>N/A</x:v>
      </x:c>
      <x:c r="O101" s="4" t="str">
        <x:v>An approved, clearly disclosed resort-context referral link with merchant sub-ID tracking</x:v>
      </x:c>
      <x:c r="P101" s="4" t="str">
        <x:v>Net approved affiliate/referral commissions</x:v>
      </x:c>
      <x:c r="Q101" s="4" t="str">
        <x:v>$0 minimum; $0–300/month early planning range, traffic dependent</x:v>
      </x:c>
      <x:c r="R101" s="4" t="str">
        <x:v>10–25% (subjective)</x:v>
      </x:c>
      <x:c r="S101" s="4" t="n">
        <x:v>2</x:v>
      </x:c>
      <x:c r="T101" s="12" t="n">
        <x:v>46443</x:v>
      </x:c>
      <x:c r="U101" s="12" t="n">
        <x:v>46450</x:v>
      </x:c>
      <x:c r="V101" s="4" t="str">
        <x:v>Research ready — reverify before send</x:v>
      </x:c>
      <x:c r="W101" s="4" t="str">
        <x:v>Current public signup page establishes program, not exact commission or cookie terms; do not assume historical commission-share tiers.</x:v>
      </x:c>
      <x:c r="X101" s="4" t="str">
        <x:v>Current official publisher signup routes through CJ; destination lodging links can be tested after approval.</x:v>
      </x:c>
      <x:c r="Y101" s="4" t="n">
        <x:v>3</x:v>
      </x:c>
      <x:c r="Z101" s="4" t="n">
        <x:v>4</x:v>
      </x:c>
      <x:c r="AA101" s="4" t="n">
        <x:v>3</x:v>
      </x:c>
      <x:c r="AB101" s="4" t="n">
        <x:v>4</x:v>
      </x:c>
      <x:c r="AC101" s="4" t="n">
        <x:v>3</x:v>
      </x:c>
      <x:c r="AD101" s="4" t="n">
        <x:f>Y101*Z101*AA101*AB101*AC101</x:f>
        <x:v>432</x:v>
      </x:c>
      <x:c r="AE101" s="4" t="str">
        <x:v>N/A</x:v>
      </x:c>
      <x:c r="AF101" s="4" t="str">
        <x:v>N/A</x:v>
      </x:c>
      <x:c r="AG101" s="4" t="str">
        <x:v>https://www.booking.com/affiliate-program/v2/index.html</x:v>
      </x:c>
      <x:c r="AH101" s="4" t="str">
        <x:v>N/A</x:v>
      </x:c>
      <x:c r="AI101" s="12" t="n">
        <x:v>46274</x:v>
      </x:c>
      <x:c r="AJ101" s="4" t="str">
        <x:v>Public first-party business route researched; no delivery test or buyer authority confirmed</x:v>
      </x:c>
      <x:c r="AK101" s="4" t="str">
        <x:v>PeakCam × Booking.com: small ski-season pilot</x:v>
      </x:c>
      <x:c r="AL101" s="4" t="str">
        <x:v>Hi Booking.com team,
I’m Jared, the founder of PeakCam (peakcam.io), a small mountain-camera finder currently starting with three Colorado resorts. Current official publisher signup routes through CJ; destination lodging links can be tested after approval.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row>
  </x:sheetData>
  <x:dataValidations count="1">
    <x:dataValidation type="list" sqref="V2:V101">
      <x:formula1>"Research ready — reverify before send,Verified,Contacted,Replied,Qualified,Pilot proposed,Pilot active,Paid active,Renewed,Lost,Opted out"</x:formula1>
    </x:dataValidation>
  </x:dataValidations>
  <x:pageMargins left="0.7" right="0.7" top="0.75" bottom="0.75" header="0.3" footer="0.3"/>
  <x:tableParts count="1">
    <x:tablePart xmlns:r="http://schemas.openxmlformats.org/officeDocument/2006/relationships" r:id="Rbfb517a67e39448b"/>
  </x:tableParts>
</x:worksheet>
</file>

<file path=xl/worksheets/sheet3.xml><?xml version="1.0" encoding="utf-8"?>
<x:worksheet xmlns:x="http://schemas.openxmlformats.org/spreadsheetml/2006/main">
  <x:sheetFormatPr defaultRowHeight="15"/>
  <x:cols>
    <x:col min="1" max="1" width="8" hidden="0" customWidth="1"/>
    <x:col min="2" max="2" width="36" hidden="0" customWidth="1"/>
    <x:col min="3" max="3" width="32" hidden="0" customWidth="1"/>
    <x:col min="4" max="4" width="32"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s>
  <x:sheetData>
    <x:row r="1" ht="42" customHeight="1">
      <x:c r="A1" s="9" t="str">
        <x:v>Rank</x:v>
      </x:c>
      <x:c r="B1" s="9" t="str">
        <x:v>Company</x:v>
      </x:c>
      <x:c r="C1" s="9" t="str">
        <x:v>Person / team</x:v>
      </x:c>
      <x:c r="D1" s="9" t="str">
        <x:v>Public channel</x:v>
      </x:c>
      <x:c r="E1" s="9" t="str">
        <x:v>Why</x:v>
      </x:c>
      <x:c r="F1" s="9" t="str">
        <x:v>Offer</x:v>
      </x:c>
      <x:c r="G1" s="9" t="str">
        <x:v>Ask</x:v>
      </x:c>
      <x:c r="H1" s="9" t="str">
        <x:v>Potential value</x:v>
      </x:c>
      <x:c r="I1" s="9" t="str">
        <x:v>Email subject</x:v>
      </x:c>
      <x:c r="J1" s="9" t="str">
        <x:v>Source</x:v>
      </x:c>
      <x:c r="K1" s="9" t="str">
        <x:v>Caveat</x:v>
      </x:c>
    </x:row>
    <x:row r="2" ht="90" customHeight="1">
      <x:c r="A2" s="4" t="n">
        <x:v>1</x:v>
      </x:c>
      <x:c r="B2" s="4" t="str">
        <x:v>Loveland Ski Area</x:v>
      </x:c>
      <x:c r="C2" s="4" t="str">
        <x:v>Loryn Roberson</x:v>
      </x:c>
      <x:c r="D2" s="4" t="str">
        <x:v>loryn.roberson@skiloveland.com</x:v>
      </x:c>
      <x:c r="E2" s="4" t="str">
        <x:v>Already listed in the audited catalog; resolve the official webcam URL and request a small early-season attribution/referral pilot.</x:v>
      </x:c>
      <x:c r="F2" s="4" t="str">
        <x:v>An attributed, link-first Colorado camera discovery pilot; embeds only with written permission</x:v>
      </x:c>
      <x:c r="G2" s="4" t="str">
        <x:v>Confirm the correct camera page and the person authorized to approve display/thumbnail rights</x:v>
      </x:c>
      <x:c r="H2" s="4" t="str">
        <x:v>$0 pilot; optional $100–300/month only after audience proof</x:v>
      </x:c>
      <x:c r="I2" s="4" t="str">
        <x:v>Loveland camera links: small PeakCam referral pilot</x:v>
      </x:c>
      <x:c r="J2" s="4" t="str">
        <x:v>https://skiloveland.com/media-center/</x:v>
      </x:c>
      <x:c r="K2" s="4" t="str">
        <x:v>Public first-party business route researched; no delivery test or buyer authority confirmed</x:v>
      </x:c>
    </x:row>
    <x:row r="3" ht="90" customHeight="1">
      <x:c r="A3" s="4" t="n">
        <x:v>2</x:v>
      </x:c>
      <x:c r="B3" s="4" t="str">
        <x:v>Monarch Mountain</x:v>
      </x:c>
      <x:c r="C3" s="4" t="str">
        <x:v>Marketing / partnerships (routing request)</x:v>
      </x:c>
      <x:c r="D3" s="4" t="str">
        <x:v>marketing@skimonarch.com</x:v>
      </x:c>
      <x:c r="E3" s="4" t="str">
        <x:v>Colorado expansion with an explicit marketing inbox; propose link-first conditions discovery and agreed image rights.</x:v>
      </x:c>
      <x:c r="F3" s="4" t="str">
        <x:v>An attributed, link-first Colorado camera discovery pilot; embeds only with written permission</x:v>
      </x:c>
      <x:c r="G3" s="4" t="str">
        <x:v>Confirm the correct camera page and the person authorized to approve display/thumbnail rights</x:v>
      </x:c>
      <x:c r="H3" s="4" t="str">
        <x:v>$0 pilot; optional $100–300/month only after audience proof</x:v>
      </x:c>
      <x:c r="I3" s="4" t="str">
        <x:v>PeakCam × Monarch Mountain: small ski-season pilot</x:v>
      </x:c>
      <x:c r="J3" s="4" t="str">
        <x:v>https://skimonarch.com/contact-us/</x:v>
      </x:c>
      <x:c r="K3" s="4" t="str">
        <x:v>Public first-party business route researched; no delivery test or buyer authority confirmed</x:v>
      </x:c>
    </x:row>
    <x:row r="4" ht="90" customHeight="1">
      <x:c r="A4" s="4" t="n">
        <x:v>3</x:v>
      </x:c>
      <x:c r="B4" s="4" t="str">
        <x:v>Ski Cooper</x:v>
      </x:c>
      <x:c r="C4" s="4" t="str">
        <x:v>Marketing / partnerships (routing request)</x:v>
      </x:c>
      <x:c r="D4" s="4" t="str">
        <x:v>https://www.skicooper.com/contact-us/</x:v>
      </x:c>
      <x:c r="E4" s="4" t="str">
        <x:v>Compact Colorado pilot near existing coverage; ask general form to route to marketing.</x:v>
      </x:c>
      <x:c r="F4" s="4" t="str">
        <x:v>An attributed, link-first Colorado camera discovery pilot; embeds only with written permission</x:v>
      </x:c>
      <x:c r="G4" s="4" t="str">
        <x:v>Confirm the correct camera page and the person authorized to approve display/thumbnail rights</x:v>
      </x:c>
      <x:c r="H4" s="4" t="str">
        <x:v>$0 pilot; optional $100–300/month only after audience proof</x:v>
      </x:c>
      <x:c r="I4" s="4" t="str">
        <x:v>PeakCam × Ski Cooper: small ski-season pilot</x:v>
      </x:c>
      <x:c r="J4" s="4" t="str">
        <x:v>https://www.skicooper.com/contact-us/</x:v>
      </x:c>
      <x:c r="K4" s="4" t="str">
        <x:v>Public first-party business route researched; no delivery test or buyer authority confirmed</x:v>
      </x:c>
    </x:row>
    <x:row r="5" ht="90" customHeight="1">
      <x:c r="A5" s="4" t="n">
        <x:v>4</x:v>
      </x:c>
      <x:c r="B5" s="4" t="str">
        <x:v>Sunlight Mountain Resort</x:v>
      </x:c>
      <x:c r="C5" s="4" t="str">
        <x:v>Kala Casey</x:v>
      </x:c>
      <x:c r="D5" s="4" t="str">
        <x:v>kala@sunlightmtn.com</x:v>
      </x:c>
      <x:c r="E5" s="4" t="str">
        <x:v>Publishes a media-use policy and dedicated contact; start with approved imagery and traffic referrals, not blanket content reuse.</x:v>
      </x:c>
      <x:c r="F5" s="4" t="str">
        <x:v>An attributed, link-first Colorado camera discovery pilot; embeds only with written permission</x:v>
      </x:c>
      <x:c r="G5" s="4" t="str">
        <x:v>Confirm the correct camera page and the person authorized to approve display/thumbnail rights</x:v>
      </x:c>
      <x:c r="H5" s="4" t="str">
        <x:v>$0 pilot; optional $100–300/month only after audience proof</x:v>
      </x:c>
      <x:c r="I5" s="4" t="str">
        <x:v>PeakCam × Sunlight Mountain Resort: small ski-season pilot</x:v>
      </x:c>
      <x:c r="J5" s="4" t="str">
        <x:v>https://sunlightmtn.com/media-link/</x:v>
      </x:c>
      <x:c r="K5" s="4" t="str">
        <x:v>Public first-party business route researched; no delivery test or buyer authority confirmed</x:v>
      </x:c>
    </x:row>
    <x:row r="6" ht="90" customHeight="1">
      <x:c r="A6" s="4" t="n">
        <x:v>5</x:v>
      </x:c>
      <x:c r="B6" s="4" t="str">
        <x:v>Granby Ranch</x:v>
      </x:c>
      <x:c r="C6" s="4" t="str">
        <x:v>Marketing / partnerships (routing request)</x:v>
      </x:c>
      <x:c r="D6" s="4" t="str">
        <x:v>https://granbyranch.com/contact-us/</x:v>
      </x:c>
      <x:c r="E6" s="4" t="str">
        <x:v>Family-trip use case and regional expansion; ask for correct camera sources and concierge feedback.</x:v>
      </x:c>
      <x:c r="F6" s="4" t="str">
        <x:v>An attributed, link-first Colorado camera discovery pilot; embeds only with written permission</x:v>
      </x:c>
      <x:c r="G6" s="4" t="str">
        <x:v>Confirm the correct camera page and the person authorized to approve display/thumbnail rights</x:v>
      </x:c>
      <x:c r="H6" s="4" t="str">
        <x:v>$0 pilot; optional $100–300/month only after audience proof</x:v>
      </x:c>
      <x:c r="I6" s="4" t="str">
        <x:v>PeakCam × Granby Ranch: small ski-season pilot</x:v>
      </x:c>
      <x:c r="J6" s="4" t="str">
        <x:v>https://granbyranch.com/contact-us/</x:v>
      </x:c>
      <x:c r="K6" s="4" t="str">
        <x:v>Public first-party business route researched; no delivery test or buyer authority confirmed</x:v>
      </x:c>
    </x:row>
    <x:row r="7" ht="90" customHeight="1">
      <x:c r="A7" s="4" t="n">
        <x:v>6</x:v>
      </x:c>
      <x:c r="B7" s="4" t="str">
        <x:v>Wolf Creek Ski Area</x:v>
      </x:c>
      <x:c r="C7" s="4" t="str">
        <x:v>Marketing / partnerships (routing request)</x:v>
      </x:c>
      <x:c r="D7" s="4" t="str">
        <x:v>WolfCreekSki@WolfCreekSki.com</x:v>
      </x:c>
      <x:c r="E7" s="4" t="str">
        <x:v>Official homepage exposes multiple named cameras; useful snow-observation destination to add only after source verification.</x:v>
      </x:c>
      <x:c r="F7" s="4" t="str">
        <x:v>An attributed, link-first Colorado camera discovery pilot; embeds only with written permission</x:v>
      </x:c>
      <x:c r="G7" s="4" t="str">
        <x:v>Confirm the correct camera page and the person authorized to approve display/thumbnail rights</x:v>
      </x:c>
      <x:c r="H7" s="4" t="str">
        <x:v>$0 pilot; optional $100–300/month only after audience proof</x:v>
      </x:c>
      <x:c r="I7" s="4" t="str">
        <x:v>PeakCam × Wolf Creek Ski Area: small ski-season pilot</x:v>
      </x:c>
      <x:c r="J7" s="4" t="str">
        <x:v>https://wolfcreekski.com/</x:v>
      </x:c>
      <x:c r="K7" s="4" t="str">
        <x:v>Public first-party business route researched; no delivery test or buyer authority confirmed</x:v>
      </x:c>
    </x:row>
    <x:row r="8" ht="90" customHeight="1">
      <x:c r="A8" s="4" t="n">
        <x:v>7</x:v>
      </x:c>
      <x:c r="B8" s="4" t="str">
        <x:v>Arapahoe Basin</x:v>
      </x:c>
      <x:c r="C8" s="4" t="str">
        <x:v>Marketing / partnerships (routing request)</x:v>
      </x:c>
      <x:c r="D8" s="4" t="str">
        <x:v>guestservices@abasin.com</x:v>
      </x:c>
      <x:c r="E8" s="4" t="str">
        <x:v>Already in the audited catalog; request routing to digital marketing for correct source, attribution and permission.</x:v>
      </x:c>
      <x:c r="F8" s="4" t="str">
        <x:v>An attributed, link-first Colorado camera discovery pilot; embeds only with written permission</x:v>
      </x:c>
      <x:c r="G8" s="4" t="str">
        <x:v>Confirm the correct camera page and the person authorized to approve display/thumbnail rights</x:v>
      </x:c>
      <x:c r="H8" s="4" t="str">
        <x:v>$0 pilot; optional $100–300/month only after audience proof</x:v>
      </x:c>
      <x:c r="I8" s="4" t="str">
        <x:v>PeakCam × Arapahoe Basin: small ski-season pilot</x:v>
      </x:c>
      <x:c r="J8" s="4" t="str">
        <x:v>https://www.arapahoebasin.com/contact-us/</x:v>
      </x:c>
      <x:c r="K8" s="4" t="str">
        <x:v>Public first-party business route researched; no delivery test or buyer authority confirmed</x:v>
      </x:c>
    </x:row>
    <x:row r="9" ht="90" customHeight="1">
      <x:c r="A9" s="4" t="n">
        <x:v>8</x:v>
      </x:c>
      <x:c r="B9" s="4" t="str">
        <x:v>Roundshot / Seitz Phototechnik AG</x:v>
      </x:c>
      <x:c r="C9" s="4" t="str">
        <x:v>Sharing partner / livecam business team</x:v>
      </x:c>
      <x:c r="D9" s="4" t="str">
        <x:v>info@roundshot.com</x:v>
      </x:c>
      <x:c r="E9" s="4" t="str">
        <x:v>June 2026 sharing-partner announcement is a direct upstream distribution opening; propose a US ski pilot.</x:v>
      </x:c>
      <x:c r="F9" s="4" t="str">
        <x:v>A 5–10 camera, owner-consented commercial distribution pilot with attribution and no stream proxy</x:v>
      </x:c>
      <x:c r="G9" s="4" t="str">
        <x:v>Identify permitted cameras, embedding method, rights scope, pricing and required owner approvals</x:v>
      </x:c>
      <x:c r="H9" s="4" t="str">
        <x:v>$0–500/month pilot cost ceiling, quote required; revenue not assumed</x:v>
      </x:c>
      <x:c r="I9" s="4" t="str">
        <x:v>US ski-camera pilot for Roundshot sharing partners</x:v>
      </x:c>
      <x:c r="J9" s="4" t="str">
        <x:v>https://www.roundshot.com/en/messages.html/21/news/946</x:v>
      </x:c>
      <x:c r="K9" s="4" t="str">
        <x:v>Public first-party business route researched; no delivery test or buyer authority confirmed</x:v>
      </x:c>
    </x:row>
    <x:row r="10" ht="90" customHeight="1">
      <x:c r="A10" s="4" t="n">
        <x:v>9</x:v>
      </x:c>
      <x:c r="B10" s="4" t="str">
        <x:v>HDOnTap</x:v>
      </x:c>
      <x:c r="C10" s="4" t="str">
        <x:v>Streaming sales / partnerships</x:v>
      </x:c>
      <x:c r="D10" s="4" t="str">
        <x:v>sales@hdontap.com</x:v>
      </x:c>
      <x:c r="E10" s="4" t="str">
        <x:v>Ask about approved resort-player distribution and referral reporting on a small camera subset.</x:v>
      </x:c>
      <x:c r="F10" s="4" t="str">
        <x:v>A 5–10 camera, owner-consented commercial distribution pilot with attribution and no stream proxy</x:v>
      </x:c>
      <x:c r="G10" s="4" t="str">
        <x:v>Identify permitted cameras, embedding method, rights scope, pricing and required owner approvals</x:v>
      </x:c>
      <x:c r="H10" s="4" t="str">
        <x:v>$0–500/month pilot cost ceiling, quote required; revenue not assumed</x:v>
      </x:c>
      <x:c r="I10" s="4" t="str">
        <x:v>PeakCam × HDOnTap: small ski-season pilot</x:v>
      </x:c>
      <x:c r="J10" s="4" t="str">
        <x:v>https://sales.hdontap.com/contact-us/</x:v>
      </x:c>
      <x:c r="K10" s="4" t="str">
        <x:v>Public first-party business route researched; no delivery test or buyer authority confirmed</x:v>
      </x:c>
    </x:row>
    <x:row r="11" ht="90" customHeight="1">
      <x:c r="A11" s="4" t="n">
        <x:v>10</x:v>
      </x:c>
      <x:c r="B11" s="4" t="str">
        <x:v>Panomax GmbH</x:v>
      </x:c>
      <x:c r="C11" s="4" t="str">
        <x:v>Partner program / sales</x:v>
      </x:c>
      <x:c r="D11" s="4" t="str">
        <x:v>office@panomax.com</x:v>
      </x:c>
      <x:c r="E11" s="4" t="str">
        <x:v>Panoramic tourism camera distribution and partner program; test approved US ski placements.</x:v>
      </x:c>
      <x:c r="F11" s="4" t="str">
        <x:v>A 5–10 camera, owner-consented commercial distribution pilot with attribution and no stream proxy</x:v>
      </x:c>
      <x:c r="G11" s="4" t="str">
        <x:v>Identify permitted cameras, embedding method, rights scope, pricing and required owner approvals</x:v>
      </x:c>
      <x:c r="H11" s="4" t="str">
        <x:v>$0–500/month pilot cost ceiling, quote required; revenue not assumed</x:v>
      </x:c>
      <x:c r="I11" s="4" t="str">
        <x:v>PeakCam × Panomax GmbH: small ski-season pilot</x:v>
      </x:c>
      <x:c r="J11" s="4" t="str">
        <x:v>https://www.panomax.com/en</x:v>
      </x:c>
      <x:c r="K11" s="4" t="str">
        <x:v>Public first-party business route researched; no delivery test or buyer authority confirmed</x:v>
      </x:c>
    </x:row>
    <x:row r="12" ht="90" customHeight="1">
      <x:c r="A12" s="4" t="n">
        <x:v>11</x:v>
      </x:c>
      <x:c r="B12" s="4" t="str">
        <x:v>Colorado Ski Country USA</x:v>
      </x:c>
      <x:c r="C12" s="4" t="str">
        <x:v>Sarah Beatty</x:v>
      </x:c>
      <x:c r="D12" s="4" t="str">
        <x:v>sarah@coloradoski.com</x:v>
      </x:c>
      <x:c r="E12" s="4" t="str">
        <x:v>Best regional association fit; ask for feedback and routing to member camera owners, not a national ad contract.</x:v>
      </x:c>
      <x:c r="F12" s="4" t="str">
        <x:v>A concise, source-credited destination camera guide and trackable referral pilot</x:v>
      </x:c>
      <x:c r="G12" s="4" t="str">
        <x:v>Review accuracy, route rights questions and introduce one local rental or lodging partner</x:v>
      </x:c>
      <x:c r="H12" s="4" t="str">
        <x:v>$0 pilot; $250–750/month hypothetical later</x:v>
      </x:c>
      <x:c r="I12" s="4" t="str">
        <x:v>PeakCam × Colorado Ski Country USA: small ski-season pilot</x:v>
      </x:c>
      <x:c r="J12" s="4" t="str">
        <x:v>https://www.coloradoski.com/media-room/</x:v>
      </x:c>
      <x:c r="K12" s="4" t="str">
        <x:v>Public first-party business route researched; no delivery test or buyer authority confirmed</x:v>
      </x:c>
    </x:row>
    <x:row r="13" ht="90" customHeight="1">
      <x:c r="A13" s="4" t="n">
        <x:v>12</x:v>
      </x:c>
      <x:c r="B13" s="4" t="str">
        <x:v>Visit Glenwood Springs</x:v>
      </x:c>
      <x:c r="C13" s="4" t="str">
        <x:v>Marketing / partnerships (routing request)</x:v>
      </x:c>
      <x:c r="D13" s="4" t="str">
        <x:v>info@visitglenwood.com</x:v>
      </x:c>
      <x:c r="E13" s="4" t="str">
        <x:v>Pairs Sunlight with local lodging and year-round visitor services; test concierge distribution.</x:v>
      </x:c>
      <x:c r="F13" s="4" t="str">
        <x:v>A concise, source-credited destination camera guide and trackable referral pilot</x:v>
      </x:c>
      <x:c r="G13" s="4" t="str">
        <x:v>Review accuracy, route rights questions and introduce one local rental or lodging partner</x:v>
      </x:c>
      <x:c r="H13" s="4" t="str">
        <x:v>$0 pilot; $250–750/month hypothetical later</x:v>
      </x:c>
      <x:c r="I13" s="4" t="str">
        <x:v>PeakCam × Visit Glenwood Springs: small ski-season pilot</x:v>
      </x:c>
      <x:c r="J13" s="4" t="str">
        <x:v>https://visitglenwood.com/</x:v>
      </x:c>
      <x:c r="K13" s="4" t="str">
        <x:v>Public first-party business route researched; no delivery test or buyer authority confirmed</x:v>
      </x:c>
    </x:row>
    <x:row r="14" ht="90" customHeight="1">
      <x:c r="A14" s="4" t="n">
        <x:v>13</x:v>
      </x:c>
      <x:c r="B14" s="4" t="str">
        <x:v>Breckenridge Tourism Office / GoBreck</x:v>
      </x:c>
      <x:c r="C14" s="4" t="str">
        <x:v>Kerry O’Connor</x:v>
      </x:c>
      <x:c r="D14" s="4" t="str">
        <x:v>koconnor@gobreck.com</x:v>
      </x:c>
      <x:c r="E14" s="4" t="str">
        <x:v>Destination already in PeakCam catalog; request approved visual assets and a visitor-usefulness review.</x:v>
      </x:c>
      <x:c r="F14" s="4" t="str">
        <x:v>A concise, source-credited destination camera guide and trackable referral pilot</x:v>
      </x:c>
      <x:c r="G14" s="4" t="str">
        <x:v>Review accuracy, route rights questions and introduce one local rental or lodging partner</x:v>
      </x:c>
      <x:c r="H14" s="4" t="str">
        <x:v>$0 pilot; $250–750/month hypothetical later</x:v>
      </x:c>
      <x:c r="I14" s="4" t="str">
        <x:v>PeakCam × Breckenridge Tourism Office / GoBreck: small ski-season pilot</x:v>
      </x:c>
      <x:c r="J14" s="4" t="str">
        <x:v>https://gobreck.com/media/</x:v>
      </x:c>
      <x:c r="K14" s="4" t="str">
        <x:v>Public first-party business route researched; no delivery test or buyer authority confirmed</x:v>
      </x:c>
    </x:row>
    <x:row r="15" ht="90" customHeight="1">
      <x:c r="A15" s="4" t="n">
        <x:v>14</x:v>
      </x:c>
      <x:c r="B15" s="4" t="str">
        <x:v>Blue River Sports</x:v>
      </x:c>
      <x:c r="C15" s="4" t="str">
        <x:v>Marketing / partnerships (routing request)</x:v>
      </x:c>
      <x:c r="D15" s="4" t="str">
        <x:v>https://www.summitchamber.org/connections/78492-blue-river-sports/</x:v>
      </x:c>
      <x:c r="E15" s="4" t="str">
        <x:v>Direct match to the current Breckenridge page; propose a tracked rental referral test after repairing the camera entries.</x:v>
      </x:c>
      <x:c r="F15" s="4" t="str">
        <x:v>One labeled nearby-business placement on a relevant resort page with a monthly click report</x:v>
      </x:c>
      <x:c r="G15" s="4" t="str">
        <x:v>A 30-day $50–150 pilot only after sharing actual local traffic; otherwise an interview</x:v>
      </x:c>
      <x:c r="H15" s="4" t="str">
        <x:v>$50–150/month pilot; no promised bookings</x:v>
      </x:c>
      <x:c r="I15" s="4" t="str">
        <x:v>PeakCam × Blue River Sports: small ski-season pilot</x:v>
      </x:c>
      <x:c r="J15" s="4" t="str">
        <x:v>https://www.summitchamber.org/connections/78492-blue-river-sports/</x:v>
      </x:c>
      <x:c r="K15" s="4" t="str">
        <x:v>Public directory/business-profile route; reverify with organization</x:v>
      </x:c>
    </x:row>
    <x:row r="16" ht="90" customHeight="1">
      <x:c r="A16" s="4" t="n">
        <x:v>15</x:v>
      </x:c>
      <x:c r="B16" s="4" t="str">
        <x:v>Mountain View Sports</x:v>
      </x:c>
      <x:c r="C16" s="4" t="str">
        <x:v>Marketing / partnerships (routing request)</x:v>
      </x:c>
      <x:c r="D16" s="4" t="str">
        <x:v>https://mountainviewsports.com/store-location/</x:v>
      </x:c>
      <x:c r="E16" s="4" t="str">
        <x:v>Family rental shop in the immediate Summit County expansion cluster; offer useful destination referrals, not promised bookings.</x:v>
      </x:c>
      <x:c r="F16" s="4" t="str">
        <x:v>One labeled nearby-business placement on a relevant resort page with a monthly click report</x:v>
      </x:c>
      <x:c r="G16" s="4" t="str">
        <x:v>A 30-day $50–150 pilot only after sharing actual local traffic; otherwise an interview</x:v>
      </x:c>
      <x:c r="H16" s="4" t="str">
        <x:v>$50–150/month pilot; no promised bookings</x:v>
      </x:c>
      <x:c r="I16" s="4" t="str">
        <x:v>PeakCam × Mountain View Sports: small ski-season pilot</x:v>
      </x:c>
      <x:c r="J16" s="4" t="str">
        <x:v>https://mountainviewsports.com/store-location/</x:v>
      </x:c>
      <x:c r="K16" s="4" t="str">
        <x:v>Public first-party business route researched; no delivery test or buyer authority confirmed</x:v>
      </x:c>
    </x:row>
    <x:row r="17" ht="90" customHeight="1">
      <x:c r="A17" s="4" t="n">
        <x:v>16</x:v>
      </x:c>
      <x:c r="B17" s="4" t="str">
        <x:v>Ski Butlers</x:v>
      </x:c>
      <x:c r="C17" s="4" t="str">
        <x:v>Marketing / partnerships (routing request)</x:v>
      </x:c>
      <x:c r="D17" s="4" t="str">
        <x:v>info@skibutlers.com</x:v>
      </x:c>
      <x:c r="E17" s="4" t="str">
        <x:v>Destination rental delivery matches ski-trip visitors; ask for referral terms, not assumed affiliate access.</x:v>
      </x:c>
      <x:c r="F17" s="4" t="str">
        <x:v>An approved, clearly disclosed resort-context referral link with merchant sub-ID tracking</x:v>
      </x:c>
      <x:c r="G17" s="4" t="str">
        <x:v>Publisher approval, current commission/cookie terms, exclusions and tracking test process</x:v>
      </x:c>
      <x:c r="H17" s="4" t="str">
        <x:v>$0 minimum; $0–300/month early planning range, traffic dependent</x:v>
      </x:c>
      <x:c r="I17" s="4" t="str">
        <x:v>PeakCam × Ski Butlers: small ski-season pilot</x:v>
      </x:c>
      <x:c r="J17" s="4" t="str">
        <x:v>https://www.skibutlers.com/contact</x:v>
      </x:c>
      <x:c r="K17" s="4" t="str">
        <x:v>Public first-party business route researched; no delivery test or buyer authority confirmed</x:v>
      </x:c>
    </x:row>
    <x:row r="18" ht="90" customHeight="1">
      <x:c r="A18" s="4" t="n">
        <x:v>17</x:v>
      </x:c>
      <x:c r="B18" s="4" t="str">
        <x:v>Blue Sky Ski Rentals</x:v>
      </x:c>
      <x:c r="C18" s="4" t="str">
        <x:v>Marketing / partnerships (routing request)</x:v>
      </x:c>
      <x:c r="D18" s="4" t="str">
        <x:v>infoblueskyski@gmail.com</x:v>
      </x:c>
      <x:c r="E18" s="4" t="str">
        <x:v>Completes a Sunlight–Glenwood destination cluster; small rental-referral pilot.</x:v>
      </x:c>
      <x:c r="F18" s="4" t="str">
        <x:v>One labeled nearby-business placement on a relevant resort page with a monthly click report</x:v>
      </x:c>
      <x:c r="G18" s="4" t="str">
        <x:v>A 30-day $50–150 pilot only after sharing actual local traffic; otherwise an interview</x:v>
      </x:c>
      <x:c r="H18" s="4" t="str">
        <x:v>$50–150/month pilot; no promised bookings</x:v>
      </x:c>
      <x:c r="I18" s="4" t="str">
        <x:v>PeakCam × Blue Sky Ski Rentals: small ski-season pilot</x:v>
      </x:c>
      <x:c r="J18" s="4" t="str">
        <x:v>https://www.blueskyski.net/privacy-policy/</x:v>
      </x:c>
      <x:c r="K18" s="4" t="str">
        <x:v>Public first-party business route researched; no delivery test or buyer authority confirmed</x:v>
      </x:c>
    </x:row>
    <x:row r="19" ht="90" customHeight="1">
      <x:c r="A19" s="4" t="n">
        <x:v>18</x:v>
      </x:c>
      <x:c r="B19" s="4" t="str">
        <x:v>Ski.com</x:v>
      </x:c>
      <x:c r="C19" s="4" t="str">
        <x:v>Affiliate team</x:v>
      </x:c>
      <x:c r="D19" s="4" t="str">
        <x:v>affiliates@ski.com</x:v>
      </x:c>
      <x:c r="E19" s="4" t="str">
        <x:v>Explicit publisher affiliate program includes ski vacation packages; ask for approval and deep-link terms.</x:v>
      </x:c>
      <x:c r="F19" s="4" t="str">
        <x:v>An approved, clearly disclosed resort-context referral link with merchant sub-ID tracking</x:v>
      </x:c>
      <x:c r="G19" s="4" t="str">
        <x:v>Publisher approval, current commission/cookie terms, exclusions and tracking test process</x:v>
      </x:c>
      <x:c r="H19" s="4" t="str">
        <x:v>$0 minimum; $0–300/month early planning range, traffic dependent</x:v>
      </x:c>
      <x:c r="I19" s="4" t="str">
        <x:v>Publisher application: Colorado camera-to-trip referrals</x:v>
      </x:c>
      <x:c r="J19" s="4" t="str">
        <x:v>https://www.ski.com/affiliates</x:v>
      </x:c>
      <x:c r="K19" s="4" t="str">
        <x:v>Public first-party business route researched; no delivery test or buyer authority confirmed</x:v>
      </x:c>
    </x:row>
    <x:row r="20" ht="90" customHeight="1">
      <x:c r="A20" s="4" t="n">
        <x:v>19</x:v>
      </x:c>
      <x:c r="B20" s="4" t="str">
        <x:v>Expedia Group Affiliate Program</x:v>
      </x:c>
      <x:c r="C20" s="4" t="str">
        <x:v>Affiliate program application</x:v>
      </x:c>
      <x:c r="D20" s="4" t="str">
        <x:v>https://www.affiliates.expediagroup.com/</x:v>
      </x:c>
      <x:c r="E20" s="4" t="str">
        <x:v>Single application covers Expedia, Hotels.com and Vrbo; deep-link lodging near approved resort pages.</x:v>
      </x:c>
      <x:c r="F20" s="4" t="str">
        <x:v>An approved, clearly disclosed resort-context referral link with merchant sub-ID tracking</x:v>
      </x:c>
      <x:c r="G20" s="4" t="str">
        <x:v>Publisher approval, current commission/cookie terms, exclusions and tracking test process</x:v>
      </x:c>
      <x:c r="H20" s="4" t="str">
        <x:v>$0 minimum; $0–300/month early planning range, traffic dependent</x:v>
      </x:c>
      <x:c r="I20" s="4" t="str">
        <x:v>PeakCam × Expedia Group Affiliate Program: small ski-season pilot</x:v>
      </x:c>
      <x:c r="J20" s="4" t="str">
        <x:v>https://www.affiliates.expediagroup.com/</x:v>
      </x:c>
      <x:c r="K20" s="4" t="str">
        <x:v>Public first-party business route researched; no delivery test or buyer authority confirmed</x:v>
      </x:c>
    </x:row>
    <x:row r="21" ht="90" customHeight="1">
      <x:c r="A21" s="4" t="n">
        <x:v>20</x:v>
      </x:c>
      <x:c r="B21" s="4" t="str">
        <x:v>evo</x:v>
      </x:c>
      <x:c r="C21" s="4" t="str">
        <x:v>AvantLink affiliate program</x:v>
      </x:c>
      <x:c r="D21" s="4" t="str">
        <x:v>https://www.evo.com/pages/affiliate-program</x:v>
      </x:c>
      <x:c r="E21" s="4" t="str">
        <x:v>Published 5% commission and 30-day cookie through AvantLink; relevant gear referral test.</x:v>
      </x:c>
      <x:c r="F21" s="4" t="str">
        <x:v>An approved, clearly disclosed resort-context referral link with merchant sub-ID tracking</x:v>
      </x:c>
      <x:c r="G21" s="4" t="str">
        <x:v>Publisher approval, current commission/cookie terms, exclusions and tracking test process</x:v>
      </x:c>
      <x:c r="H21" s="4" t="str">
        <x:v>$0 minimum; $0–300/month early planning range, traffic dependent</x:v>
      </x:c>
      <x:c r="I21" s="4" t="str">
        <x:v>PeakCam × evo: small ski-season pilot</x:v>
      </x:c>
      <x:c r="J21" s="4" t="str">
        <x:v>https://www.evo.com/pages/affiliate-program</x:v>
      </x:c>
      <x:c r="K21" s="4" t="str">
        <x:v>Public first-party business route researched; no delivery test or buyer authority confirmed</x:v>
      </x:c>
    </x:row>
    <x:row r="22" ht="90" customHeight="1">
      <x:c r="A22" s="4" t="n">
        <x:v>21</x:v>
      </x:c>
      <x:c r="B22" s="4" t="str">
        <x:v>PeakRankings</x:v>
      </x:c>
      <x:c r="C22" s="4" t="str">
        <x:v>Sam Weintraub</x:v>
      </x:c>
      <x:c r="D22" s="4" t="str">
        <x:v>sam@peakrankings.com</x:v>
      </x:c>
      <x:c r="E22" s="4" t="str">
        <x:v>Camera source reliability complements destination comparison content; ask for a critical product test, not endorsement.</x:v>
      </x:c>
      <x:c r="F22" s="4" t="str">
        <x:v>A useful, honestly described camera finder for a short test or audience feedback session</x:v>
      </x:c>
      <x:c r="G22" s="4" t="str">
        <x:v>Try the product and share candid feedback; any mention is optional and editorially independent</x:v>
      </x:c>
      <x:c r="H22" s="4" t="str">
        <x:v>$0 editorial test; avoid paid-link purchase</x:v>
      </x:c>
      <x:c r="I22" s="4" t="str">
        <x:v>PeakCam × PeakRankings: small ski-season pilot</x:v>
      </x:c>
      <x:c r="J22" s="4" t="str">
        <x:v>https://www.peakrankings.com/about</x:v>
      </x:c>
      <x:c r="K22" s="4" t="str">
        <x:v>Public first-party business route researched; no delivery test or buyer authority confirmed</x:v>
      </x:c>
    </x:row>
    <x:row r="23" ht="90" customHeight="1">
      <x:c r="A23" s="4" t="n">
        <x:v>22</x:v>
      </x:c>
      <x:c r="B23" s="4" t="str">
        <x:v>SnowBrains</x:v>
      </x:c>
      <x:c r="C23" s="4" t="str">
        <x:v>Marketing / partnerships (routing request)</x:v>
      </x:c>
      <x:c r="D23" s="4" t="str">
        <x:v>contact@snowbrains.com</x:v>
      </x:c>
      <x:c r="E23" s="4" t="str">
        <x:v>Pitch a transparent Colorado camera-source audit and useful resource, not a fabricated launch success story.</x:v>
      </x:c>
      <x:c r="F23" s="4" t="str">
        <x:v>A useful, honestly described camera finder for a short test or audience feedback session</x:v>
      </x:c>
      <x:c r="G23" s="4" t="str">
        <x:v>Try the product and share candid feedback; any mention is optional and editorially independent</x:v>
      </x:c>
      <x:c r="H23" s="4" t="str">
        <x:v>$0 editorial test; avoid paid-link purchase</x:v>
      </x:c>
      <x:c r="I23" s="4" t="str">
        <x:v>PeakCam × SnowBrains: small ski-season pilot</x:v>
      </x:c>
      <x:c r="J23" s="4" t="str">
        <x:v>https://snowbrains.com/contact/</x:v>
      </x:c>
      <x:c r="K23" s="4" t="str">
        <x:v>Public first-party business route researched; no delivery test or buyer authority confirmed</x:v>
      </x:c>
    </x:row>
    <x:row r="24" ht="90" customHeight="1">
      <x:c r="A24" s="4" t="n">
        <x:v>23</x:v>
      </x:c>
      <x:c r="B24" s="4" t="str">
        <x:v>Uncover Colorado</x:v>
      </x:c>
      <x:c r="C24" s="4" t="str">
        <x:v>Marketing / partnerships (routing request)</x:v>
      </x:c>
      <x:c r="D24" s="4" t="str">
        <x:v>info@uncovercolorado.com</x:v>
      </x:c>
      <x:c r="E24" s="4" t="str">
        <x:v>Regional discovery audience; ask for feedback on a useful camera directory after it has meaningful coverage.</x:v>
      </x:c>
      <x:c r="F24" s="4" t="str">
        <x:v>A useful, honestly described camera finder for a short test or audience feedback session</x:v>
      </x:c>
      <x:c r="G24" s="4" t="str">
        <x:v>Try the product and share candid feedback; any mention is optional and editorially independent</x:v>
      </x:c>
      <x:c r="H24" s="4" t="str">
        <x:v>$0 editorial test; avoid paid-link purchase</x:v>
      </x:c>
      <x:c r="I24" s="4" t="str">
        <x:v>PeakCam × Uncover Colorado: small ski-season pilot</x:v>
      </x:c>
      <x:c r="J24" s="4" t="str">
        <x:v>https://www.uncovercolorado.com/contact/</x:v>
      </x:c>
      <x:c r="K24" s="4" t="str">
        <x:v>Public first-party business route researched; no delivery test or buyer authority confirmed</x:v>
      </x:c>
    </x:row>
    <x:row r="25" ht="90" customHeight="1">
      <x:c r="A25" s="4" t="n">
        <x:v>24</x:v>
      </x:c>
      <x:c r="B25" s="4" t="str">
        <x:v>Schussbaumer Ski Club</x:v>
      </x:c>
      <x:c r="C25" s="4" t="str">
        <x:v>Valerie Blanchenay</x:v>
      </x:c>
      <x:c r="D25" s="4" t="str">
        <x:v>https://schuss.clubexpress.com/content.aspx?club_id=942033&amp;page_id=4</x:v>
      </x:c>
      <x:c r="E25" s="4" t="str">
        <x:v>Local repeat skiers can test whether the directory saves time; request five testers and one member-newsletter mention only after feedback.</x:v>
      </x:c>
      <x:c r="F25" s="4" t="str">
        <x:v>A useful, honestly described camera finder for a short test or audience feedback session</x:v>
      </x:c>
      <x:c r="G25" s="4" t="str">
        <x:v>Try the product and share candid feedback; any mention is optional and editorially independent</x:v>
      </x:c>
      <x:c r="H25" s="4" t="str">
        <x:v>$0 editorial test; avoid paid-link purchase</x:v>
      </x:c>
      <x:c r="I25" s="4" t="str">
        <x:v>PeakCam × Schussbaumer Ski Club: small ski-season pilot</x:v>
      </x:c>
      <x:c r="J25" s="4" t="str">
        <x:v>https://schuss.clubexpress.com/content.aspx?club_id=942033&amp;page_id=4</x:v>
      </x:c>
      <x:c r="K25" s="4" t="str">
        <x:v>Public first-party business route researched; no delivery test or buyer authority confirmed</x:v>
      </x:c>
    </x:row>
    <x:row r="26" ht="90" customHeight="1">
      <x:c r="A26" s="4" t="n">
        <x:v>25</x:v>
      </x:c>
      <x:c r="B26" s="4" t="str">
        <x:v>Glade Optics</x:v>
      </x:c>
      <x:c r="C26" s="4" t="str">
        <x:v>Marketing / partnerships (routing request)</x:v>
      </x:c>
      <x:c r="D26" s="4" t="str">
        <x:v>hello@gladeoptics.com</x:v>
      </x:c>
      <x:c r="E26" s="4" t="str">
        <x:v>Smaller ski-goggle brand with direct contact; propose a modest, clearly labeled regional test once usage exists.</x:v>
      </x:c>
      <x:c r="F26" s="4" t="str">
        <x:v>A small, clearly labeled Colorado ski-planning placement or an approved affiliate test</x:v>
      </x:c>
      <x:c r="G26" s="4" t="str">
        <x:v>Route to the appropriate partnership team; discuss a pilot using actual audience numbers</x:v>
      </x:c>
      <x:c r="H26" s="4" t="str">
        <x:v>$100–300/month pilot if fit and real reach; otherwise $0</x:v>
      </x:c>
      <x:c r="I26" s="4" t="str">
        <x:v>PeakCam × Glade Optics: small ski-season pilot</x:v>
      </x:c>
      <x:c r="J26" s="4" t="str">
        <x:v>https://www.shopglade.com/pages/contact-us</x:v>
      </x:c>
      <x:c r="K26" s="4" t="str">
        <x:v>Public first-party business route researched; no delivery test or buyer authority confirmed</x:v>
      </x:c>
    </x:row>
  </x:sheetData>
  <x:pageMargins left="0.7" right="0.7" top="0.75" bottom="0.75" header="0.3" footer="0.3"/>
  <x:tableParts count="1">
    <x:tablePart xmlns:r="http://schemas.openxmlformats.org/officeDocument/2006/relationships" r:id="R87adedb058344136"/>
  </x:tableParts>
</x:worksheet>
</file>

<file path=xl/worksheets/sheet4.xml><?xml version="1.0" encoding="utf-8"?>
<x:worksheet xmlns:x="http://schemas.openxmlformats.org/spreadsheetml/2006/main">
  <x:sheetFormatPr defaultRowHeight="15"/>
  <x:cols>
    <x:col min="1" max="1" width="8" hidden="0" customWidth="1"/>
    <x:col min="2" max="2" width="36" hidden="0" customWidth="1"/>
    <x:col min="3" max="3" width="70" hidden="0" customWidth="1"/>
    <x:col min="4" max="4" width="70" hidden="0" customWidth="1"/>
    <x:col min="5" max="5" width="36" hidden="0" customWidth="1"/>
    <x:col min="6" max="6" width="36" hidden="0" customWidth="1"/>
  </x:cols>
  <x:sheetData>
    <x:row r="1" ht="42" customHeight="1">
      <x:c r="A1" s="9" t="str">
        <x:v>Rank</x:v>
      </x:c>
      <x:c r="B1" s="9" t="str">
        <x:v>Company</x:v>
      </x:c>
      <x:c r="C1" s="9" t="str">
        <x:v>Cold email draft</x:v>
      </x:c>
      <x:c r="D1" s="9" t="str">
        <x:v>LinkedIn draft (no verified profile assumed)</x:v>
      </x:c>
      <x:c r="E1" s="9" t="str">
        <x:v>Follow-up strategy</x:v>
      </x:c>
      <x:c r="F1" s="9" t="str">
        <x:v>Public source</x:v>
      </x:c>
    </x:row>
    <x:row r="2" ht="230" customHeight="1">
      <x:c r="A2" s="4" t="n">
        <x:v>1</x:v>
      </x:c>
      <x:c r="B2" s="4" t="str">
        <x:v>Loveland Ski Area</x:v>
      </x:c>
      <x:c r="C2" s="4" t="str">
        <x:v>Hi Loryn,
I’m Jared, the founder of PeakCam (peakcam.io), a small mountain-camera finder currently starting with three Colorado resorts. Already listed in the audited catalog; resolve the official webcam URL and request a small early-season attribution/referral pilot.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2" s="4" t="str">
        <x:v>Hi Loryn — I’m Jared, building a small Colorado camera finder, PeakCam. Already listed in the audited catalog; resolve the official webcam URL and request a small early-season attribution/referral pilot. Is your team the right route for a narrow resort partnership pilot? No audience-size claims; happy to share the exact scope.</x:v>
      </x:c>
      <x:c r="E2" s="4" t="str">
        <x:v>One concise follow-up on day 7 with the exact page/scope; day 16 close-the-loop. Stop after three total messages, a refusal or opt-out. Do not concurrently message every employee.</x:v>
      </x:c>
      <x:c r="F2" s="4" t="str">
        <x:v>https://skiloveland.com/media-center/</x:v>
      </x:c>
    </x:row>
    <x:row r="3" ht="230" customHeight="1">
      <x:c r="A3" s="4" t="n">
        <x:v>2</x:v>
      </x:c>
      <x:c r="B3" s="4" t="str">
        <x:v>Monarch Mountain</x:v>
      </x:c>
      <x:c r="C3" s="4" t="str">
        <x:v>Hi Monarch Mountain team,
I’m Jared, the founder of PeakCam (peakcam.io), a small mountain-camera finder currently starting with three Colorado resorts. Colorado expansion with an explicit marketing inbox; propose link-first conditions discovery and agreed image rights.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3" s="4" t="str">
        <x:v>Hi Monarch Mountain team — I’m Jared, building a small Colorado camera finder, PeakCam. Colorado expansion with an explicit marketing inbox; propose link-first conditions discovery and agreed image rights. Is your team the right route for a narrow resort partnership pilot? No audience-size claims; happy to share the exact scope.</x:v>
      </x:c>
      <x:c r="E3" s="4" t="str">
        <x:v>One concise follow-up on day 7 with the exact page/scope; day 16 close-the-loop. Stop after three total messages, a refusal or opt-out. Do not concurrently message every employee.</x:v>
      </x:c>
      <x:c r="F3" s="4" t="str">
        <x:v>https://skimonarch.com/contact-us/</x:v>
      </x:c>
    </x:row>
    <x:row r="4" ht="230" customHeight="1">
      <x:c r="A4" s="4" t="n">
        <x:v>3</x:v>
      </x:c>
      <x:c r="B4" s="4" t="str">
        <x:v>Ski Cooper</x:v>
      </x:c>
      <x:c r="C4" s="4" t="str">
        <x:v>Hi Ski Cooper team,
I’m Jared, the founder of PeakCam (peakcam.io), a small mountain-camera finder currently starting with three Colorado resorts. Compact Colorado pilot near existing coverage; ask general form to route to marketing.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4" s="4" t="str">
        <x:v>Hi Ski Cooper team — I’m Jared, building a small Colorado camera finder, PeakCam. Compact Colorado pilot near existing coverage; ask general form to route to marketing. Is your team the right route for a narrow resort partnership pilot? No audience-size claims; happy to share the exact scope.</x:v>
      </x:c>
      <x:c r="E4" s="4" t="str">
        <x:v>One concise follow-up on day 7 with the exact page/scope; day 16 close-the-loop. Stop after three total messages, a refusal or opt-out. Do not concurrently message every employee.</x:v>
      </x:c>
      <x:c r="F4" s="4" t="str">
        <x:v>https://www.skicooper.com/contact-us/</x:v>
      </x:c>
    </x:row>
    <x:row r="5" ht="230" customHeight="1">
      <x:c r="A5" s="4" t="n">
        <x:v>4</x:v>
      </x:c>
      <x:c r="B5" s="4" t="str">
        <x:v>Sunlight Mountain Resort</x:v>
      </x:c>
      <x:c r="C5" s="4" t="str">
        <x:v>Hi Kala,
I’m Jared, the founder of PeakCam (peakcam.io), a small mountain-camera finder currently starting with three Colorado resorts. Publishes a media-use policy and dedicated contact; start with approved imagery and traffic referrals, not blanket content reuse.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5" s="4" t="str">
        <x:v>Hi Kala — I’m Jared, building a small Colorado camera finder, PeakCam. Publishes a media-use policy and dedicated contact; start with approved imagery and traffic referrals, not blanket content reuse. Is your team the right route for a narrow resort partnership pilot? No audience-size claims; happy to share the exact scope.</x:v>
      </x:c>
      <x:c r="E5" s="4" t="str">
        <x:v>One concise follow-up on day 7 with the exact page/scope; day 16 close-the-loop. Stop after three total messages, a refusal or opt-out. Do not concurrently message every employee.</x:v>
      </x:c>
      <x:c r="F5" s="4" t="str">
        <x:v>https://sunlightmtn.com/media-link/</x:v>
      </x:c>
    </x:row>
    <x:row r="6" ht="230" customHeight="1">
      <x:c r="A6" s="4" t="n">
        <x:v>5</x:v>
      </x:c>
      <x:c r="B6" s="4" t="str">
        <x:v>Granby Ranch</x:v>
      </x:c>
      <x:c r="C6" s="4" t="str">
        <x:v>Hi Granby Ranch team,
I’m Jared, the founder of PeakCam (peakcam.io), a small mountain-camera finder currently starting with three Colorado resorts. Family-trip use case and regional expansion; ask for correct camera sources and concierge feedback.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6" s="4" t="str">
        <x:v>Hi Granby Ranch team — I’m Jared, building a small Colorado camera finder, PeakCam. Family-trip use case and regional expansion; ask for correct camera sources and concierge feedback. Is your team the right route for a narrow resort partnership pilot? No audience-size claims; happy to share the exact scope.</x:v>
      </x:c>
      <x:c r="E6" s="4" t="str">
        <x:v>One concise follow-up on day 7 with the exact page/scope; day 16 close-the-loop. Stop after three total messages, a refusal or opt-out. Do not concurrently message every employee.</x:v>
      </x:c>
      <x:c r="F6" s="4" t="str">
        <x:v>https://granbyranch.com/contact-us/</x:v>
      </x:c>
    </x:row>
    <x:row r="7" ht="230" customHeight="1">
      <x:c r="A7" s="4" t="n">
        <x:v>6</x:v>
      </x:c>
      <x:c r="B7" s="4" t="str">
        <x:v>Wolf Creek Ski Area</x:v>
      </x:c>
      <x:c r="C7" s="4" t="str">
        <x:v>Hi Wolf Creek Ski Area team,
I’m Jared, the founder of PeakCam (peakcam.io), a small mountain-camera finder currently starting with three Colorado resorts. Official homepage exposes multiple named cameras; useful snow-observation destination to add only after source verification.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7" s="4" t="str">
        <x:v>Hi Wolf Creek Ski Area team — I’m Jared, building a small Colorado camera finder, PeakCam. Official homepage exposes multiple named cameras; useful snow-observation destination to add only after source verification. Is your team the right route for a narrow resort partnership pilot? No audience-size claims; happy to share the exact scope.</x:v>
      </x:c>
      <x:c r="E7" s="4" t="str">
        <x:v>One concise follow-up on day 7 with the exact page/scope; day 16 close-the-loop. Stop after three total messages, a refusal or opt-out. Do not concurrently message every employee.</x:v>
      </x:c>
      <x:c r="F7" s="4" t="str">
        <x:v>https://wolfcreekski.com/</x:v>
      </x:c>
    </x:row>
    <x:row r="8" ht="230" customHeight="1">
      <x:c r="A8" s="4" t="n">
        <x:v>7</x:v>
      </x:c>
      <x:c r="B8" s="4" t="str">
        <x:v>Arapahoe Basin</x:v>
      </x:c>
      <x:c r="C8" s="4" t="str">
        <x:v>Hi Arapahoe Basin team,
I’m Jared, the founder of PeakCam (peakcam.io), a small mountain-camera finder currently starting with three Colorado resorts. Already in the audited catalog; request routing to digital marketing for correct source, attribution and permission.
I’m exploring an attributed, link-first Colorado camera discovery pilot; embeds only with written permission. Could you help me confirm the correct camera page and the person authorized to approve display/thumbnail rights?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8" s="4" t="str">
        <x:v>Hi Arapahoe Basin team — I’m Jared, building a small Colorado camera finder, PeakCam. Already in the audited catalog; request routing to digital marketing for correct source, attribution and permission. Is your team the right route for a narrow resort partnership pilot? No audience-size claims; happy to share the exact scope.</x:v>
      </x:c>
      <x:c r="E8" s="4" t="str">
        <x:v>One concise follow-up on day 7 with the exact page/scope; day 16 close-the-loop. Stop after three total messages, a refusal or opt-out. Do not concurrently message every employee.</x:v>
      </x:c>
      <x:c r="F8" s="4" t="str">
        <x:v>https://www.arapahoebasin.com/contact-us/</x:v>
      </x:c>
    </x:row>
    <x:row r="9" ht="230" customHeight="1">
      <x:c r="A9" s="4" t="n">
        <x:v>8</x:v>
      </x:c>
      <x:c r="B9" s="4" t="str">
        <x:v>Roundshot / Seitz Phototechnik AG</x:v>
      </x:c>
      <x:c r="C9" s="4" t="str">
        <x:v>Hi Roundshot / Seitz Phototechnik AG team,
I’m Jared, founder of PeakCam (peakcam.io), a small Colorado-focused mountain-camera finder. June 2026 sharing-partner announcement is a direct upstream distribution opening; propose a US ski pilot.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c r="D9" s="4" t="str">
        <x:v>Hi Roundshot / Seitz Phototechnik AG team — I’m Jared, building a small Colorado camera finder, PeakCam. June 2026 sharing-partner announcement is a direct upstream distribution opening; propose a US ski pilot. Is your team the right route for a narrow webcam/data licensing pilot? No audience-size claims; happy to share the exact scope.</x:v>
      </x:c>
      <x:c r="E9" s="4" t="str">
        <x:v>One concise follow-up on day 7 with the exact page/scope; day 16 close-the-loop. Stop after three total messages, a refusal or opt-out. Do not concurrently message every employee.</x:v>
      </x:c>
      <x:c r="F9" s="4" t="str">
        <x:v>https://www.roundshot.com/en/messages.html/21/news/946</x:v>
      </x:c>
    </x:row>
    <x:row r="10" ht="230" customHeight="1">
      <x:c r="A10" s="4" t="n">
        <x:v>9</x:v>
      </x:c>
      <x:c r="B10" s="4" t="str">
        <x:v>HDOnTap</x:v>
      </x:c>
      <x:c r="C10" s="4" t="str">
        <x:v>Hi HDOnTap team,
I’m Jared, founder of PeakCam (peakcam.io), a small Colorado-focused mountain-camera finder. Ask about approved resort-player distribution and referral reporting on a small camera subset.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c r="D10" s="4" t="str">
        <x:v>Hi HDOnTap team — I’m Jared, building a small Colorado camera finder, PeakCam. Ask about approved resort-player distribution and referral reporting on a small camera subset. Is your team the right route for a narrow webcam/data licensing pilot? No audience-size claims; happy to share the exact scope.</x:v>
      </x:c>
      <x:c r="E10" s="4" t="str">
        <x:v>One concise follow-up on day 7 with the exact page/scope; day 16 close-the-loop. Stop after three total messages, a refusal or opt-out. Do not concurrently message every employee.</x:v>
      </x:c>
      <x:c r="F10" s="4" t="str">
        <x:v>https://sales.hdontap.com/contact-us/</x:v>
      </x:c>
    </x:row>
    <x:row r="11" ht="230" customHeight="1">
      <x:c r="A11" s="4" t="n">
        <x:v>10</x:v>
      </x:c>
      <x:c r="B11" s="4" t="str">
        <x:v>Panomax GmbH</x:v>
      </x:c>
      <x:c r="C11" s="4" t="str">
        <x:v>Hi Panomax GmbH team,
I’m Jared, founder of PeakCam (peakcam.io), a small Colorado-focused mountain-camera finder. Panoramic tourism camera distribution and partner program; test approved US ski placements.
Could your team support a 5–10-camera, owner-consented distribution pilot for the 2026–27 ski season? I’d like to understand commercial embed permissions, separately licensed thumbnails, attribution, permitted placements and pricing. We would not proxy or record video, and would start with official links where rights are unclear.
Who should review this scope?
Jared Schueler
[BUSINESS EMAIL] | [BUSINESS POSTAL ADDRESS]
Please let me know if you’d prefer no follow-up.</x:v>
      </x:c>
      <x:c r="D11" s="4" t="str">
        <x:v>Hi Panomax GmbH team — I’m Jared, building a small Colorado camera finder, PeakCam. Panoramic tourism camera distribution and partner program; test approved US ski placements. Is your team the right route for a narrow webcam/data licensing pilot? No audience-size claims; happy to share the exact scope.</x:v>
      </x:c>
      <x:c r="E11" s="4" t="str">
        <x:v>One concise follow-up on day 7 with the exact page/scope; day 16 close-the-loop. Stop after three total messages, a refusal or opt-out. Do not concurrently message every employee.</x:v>
      </x:c>
      <x:c r="F11" s="4" t="str">
        <x:v>https://www.panomax.com/en</x:v>
      </x:c>
    </x:row>
    <x:row r="12" ht="230" customHeight="1">
      <x:c r="A12" s="4" t="n">
        <x:v>11</x:v>
      </x:c>
      <x:c r="B12" s="4" t="str">
        <x:v>Colorado Ski Country USA</x:v>
      </x:c>
      <x:c r="C12" s="4" t="str">
        <x:v>Hi Sarah,
I’m Jared, the founder of PeakCam (peakcam.io), a small mountain-camera finder currently starting with three Colorado resorts. Best regional association fit; ask for feedback and routing to member camera owners, not a national ad contract.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2" s="4" t="str">
        <x:v>Hi Sarah — I’m Jared, building a small Colorado camera finder, PeakCam. Best regional association fit; ask for feedback and routing to member camera owners, not a national ad contract. Is your team the right route for a narrow tourism partnership pilot? No audience-size claims; happy to share the exact scope.</x:v>
      </x:c>
      <x:c r="E12" s="4" t="str">
        <x:v>One concise follow-up on day 7 with the exact page/scope; day 16 close-the-loop. Stop after three total messages, a refusal or opt-out. Do not concurrently message every employee.</x:v>
      </x:c>
      <x:c r="F12" s="4" t="str">
        <x:v>https://www.coloradoski.com/media-room/</x:v>
      </x:c>
    </x:row>
    <x:row r="13" ht="230" customHeight="1">
      <x:c r="A13" s="4" t="n">
        <x:v>12</x:v>
      </x:c>
      <x:c r="B13" s="4" t="str">
        <x:v>Visit Glenwood Springs</x:v>
      </x:c>
      <x:c r="C13" s="4" t="str">
        <x:v>Hi Visit Glenwood Springs team,
I’m Jared, the founder of PeakCam (peakcam.io), a small mountain-camera finder currently starting with three Colorado resorts. Pairs Sunlight with local lodging and year-round visitor services; test concierge distribution.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3" s="4" t="str">
        <x:v>Hi Visit Glenwood Springs team — I’m Jared, building a small Colorado camera finder, PeakCam. Pairs Sunlight with local lodging and year-round visitor services; test concierge distribution. Is your team the right route for a narrow tourism partnership pilot? No audience-size claims; happy to share the exact scope.</x:v>
      </x:c>
      <x:c r="E13" s="4" t="str">
        <x:v>One concise follow-up on day 7 with the exact page/scope; day 16 close-the-loop. Stop after three total messages, a refusal or opt-out. Do not concurrently message every employee.</x:v>
      </x:c>
      <x:c r="F13" s="4" t="str">
        <x:v>https://visitglenwood.com/</x:v>
      </x:c>
    </x:row>
    <x:row r="14" ht="230" customHeight="1">
      <x:c r="A14" s="4" t="n">
        <x:v>13</x:v>
      </x:c>
      <x:c r="B14" s="4" t="str">
        <x:v>Breckenridge Tourism Office / GoBreck</x:v>
      </x:c>
      <x:c r="C14" s="4" t="str">
        <x:v>Hi Kerry,
I’m Jared, the founder of PeakCam (peakcam.io), a small mountain-camera finder currently starting with three Colorado resorts. Destination already in PeakCam catalog; request approved visual assets and a visitor-usefulness review.
I’m exploring a concise, source-credited destination camera guide and trackable referral pilot. Could you help me review accuracy, route rights questions and introduce one local rental or lodging partner?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4" s="4" t="str">
        <x:v>Hi Kerry — I’m Jared, building a small Colorado camera finder, PeakCam. Destination already in PeakCam catalog; request approved visual assets and a visitor-usefulness review. Is your team the right route for a narrow tourism partnership pilot? No audience-size claims; happy to share the exact scope.</x:v>
      </x:c>
      <x:c r="E14" s="4" t="str">
        <x:v>One concise follow-up on day 7 with the exact page/scope; day 16 close-the-loop. Stop after three total messages, a refusal or opt-out. Do not concurrently message every employee.</x:v>
      </x:c>
      <x:c r="F14" s="4" t="str">
        <x:v>https://gobreck.com/media/</x:v>
      </x:c>
    </x:row>
    <x:row r="15" ht="230" customHeight="1">
      <x:c r="A15" s="4" t="n">
        <x:v>14</x:v>
      </x:c>
      <x:c r="B15" s="4" t="str">
        <x:v>Blue River Sports</x:v>
      </x:c>
      <x:c r="C15" s="4" t="str">
        <x:v>Hi Blue River Sports team,
I’m Jared, the founder of PeakCam (peakcam.io), a small mountain-camera finder currently starting with three Colorado resorts. Direct match to the current Breckenridge page; propose a tracked rental referral test after repairing the camera entries.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5" s="4" t="str">
        <x:v>Hi Blue River Sports team — I’m Jared, building a small Colorado camera finder, PeakCam. Direct match to the current Breckenridge page; propose a tracked rental referral test after repairing the camera entries. Is your team the right route for a narrow local business advertising pilot? No audience-size claims; happy to share the exact scope.</x:v>
      </x:c>
      <x:c r="E15" s="4" t="str">
        <x:v>One concise follow-up on day 7 with the exact page/scope; day 16 close-the-loop. Stop after three total messages, a refusal or opt-out. Do not concurrently message every employee.</x:v>
      </x:c>
      <x:c r="F15" s="4" t="str">
        <x:v>https://www.summitchamber.org/connections/78492-blue-river-sports/</x:v>
      </x:c>
    </x:row>
    <x:row r="16" ht="230" customHeight="1">
      <x:c r="A16" s="4" t="n">
        <x:v>15</x:v>
      </x:c>
      <x:c r="B16" s="4" t="str">
        <x:v>Mountain View Sports</x:v>
      </x:c>
      <x:c r="C16" s="4" t="str">
        <x:v>Hi Mountain View Sports team,
I’m Jared, the founder of PeakCam (peakcam.io), a small mountain-camera finder currently starting with three Colorado resorts. Family rental shop in the immediate Summit County expansion cluster; offer useful destination referrals, not promised bookings.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6" s="4" t="str">
        <x:v>Hi Mountain View Sports team — I’m Jared, building a small Colorado camera finder, PeakCam. Family rental shop in the immediate Summit County expansion cluster; offer useful destination referrals, not promised bookings. Is your team the right route for a narrow local business advertising pilot? No audience-size claims; happy to share the exact scope.</x:v>
      </x:c>
      <x:c r="E16" s="4" t="str">
        <x:v>One concise follow-up on day 7 with the exact page/scope; day 16 close-the-loop. Stop after three total messages, a refusal or opt-out. Do not concurrently message every employee.</x:v>
      </x:c>
      <x:c r="F16" s="4" t="str">
        <x:v>https://mountainviewsports.com/store-location/</x:v>
      </x:c>
    </x:row>
    <x:row r="17" ht="230" customHeight="1">
      <x:c r="A17" s="4" t="n">
        <x:v>16</x:v>
      </x:c>
      <x:c r="B17" s="4" t="str">
        <x:v>Ski Butlers</x:v>
      </x:c>
      <x:c r="C17" s="4" t="str">
        <x:v>Hi Ski Butlers team,
I’m Jared, the founder of PeakCam (peakcam.io), a small mountain-camera finder currently starting with three Colorado resorts. Destination rental delivery matches ski-trip visitors; ask for referral terms, not assumed affiliate access.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7" s="4" t="str">
        <x:v>Hi Ski Butlers team — I’m Jared, building a small Colorado camera finder, PeakCam. Destination rental delivery matches ski-trip visitors; ask for referral terms, not assumed affiliate access. Is your team the right route for a narrow affiliate partnership pilot? No audience-size claims; happy to share the exact scope.</x:v>
      </x:c>
      <x:c r="E17" s="4" t="str">
        <x:v>One concise follow-up on day 7 with the exact page/scope; day 16 close-the-loop. Stop after three total messages, a refusal or opt-out. Do not concurrently message every employee.</x:v>
      </x:c>
      <x:c r="F17" s="4" t="str">
        <x:v>https://www.skibutlers.com/contact</x:v>
      </x:c>
    </x:row>
    <x:row r="18" ht="230" customHeight="1">
      <x:c r="A18" s="4" t="n">
        <x:v>17</x:v>
      </x:c>
      <x:c r="B18" s="4" t="str">
        <x:v>Blue Sky Ski Rentals</x:v>
      </x:c>
      <x:c r="C18" s="4" t="str">
        <x:v>Hi Blue Sky Ski Rentals team,
I’m Jared, the founder of PeakCam (peakcam.io), a small mountain-camera finder currently starting with three Colorado resorts. Completes a Sunlight–Glenwood destination cluster; small rental-referral pilot.
I’m exploring one labeled nearby-business placement on a relevant resort page with a monthly click report. Could you help me a 30-day $50–150 pilot only after sharing actual local traffic; otherwise an interview?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8" s="4" t="str">
        <x:v>Hi Blue Sky Ski Rentals team — I’m Jared, building a small Colorado camera finder, PeakCam. Completes a Sunlight–Glenwood destination cluster; small rental-referral pilot. Is your team the right route for a narrow local business advertising pilot? No audience-size claims; happy to share the exact scope.</x:v>
      </x:c>
      <x:c r="E18" s="4" t="str">
        <x:v>One concise follow-up on day 7 with the exact page/scope; day 16 close-the-loop. Stop after three total messages, a refusal or opt-out. Do not concurrently message every employee.</x:v>
      </x:c>
      <x:c r="F18" s="4" t="str">
        <x:v>https://www.blueskyski.net/privacy-policy/</x:v>
      </x:c>
    </x:row>
    <x:row r="19" ht="230" customHeight="1">
      <x:c r="A19" s="4" t="n">
        <x:v>18</x:v>
      </x:c>
      <x:c r="B19" s="4" t="str">
        <x:v>Ski.com</x:v>
      </x:c>
      <x:c r="C19" s="4" t="str">
        <x:v>Hi Ski.com team,
I’m Jared, the founder of PeakCam (peakcam.io), a small mountain-camera finder currently starting with three Colorado resorts. Explicit publisher affiliate program includes ski vacation packages; ask for approval and deep-link terms.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19" s="4" t="str">
        <x:v>Hi Ski.com team — I’m Jared, building a small Colorado camera finder, PeakCam. Explicit publisher affiliate program includes ski vacation packages; ask for approval and deep-link terms. Is your team the right route for a narrow affiliate partnership pilot? No audience-size claims; happy to share the exact scope.</x:v>
      </x:c>
      <x:c r="E19" s="4" t="str">
        <x:v>One concise follow-up on day 7 with the exact page/scope; day 16 close-the-loop. Stop after three total messages, a refusal or opt-out. Do not concurrently message every employee.</x:v>
      </x:c>
      <x:c r="F19" s="4" t="str">
        <x:v>https://www.ski.com/affiliates</x:v>
      </x:c>
    </x:row>
    <x:row r="20" ht="230" customHeight="1">
      <x:c r="A20" s="4" t="n">
        <x:v>19</x:v>
      </x:c>
      <x:c r="B20" s="4" t="str">
        <x:v>Expedia Group Affiliate Program</x:v>
      </x:c>
      <x:c r="C20" s="4" t="str">
        <x:v>Hi Expedia Group Affiliate Program team,
I’m Jared, the founder of PeakCam (peakcam.io), a small mountain-camera finder currently starting with three Colorado resorts. Single application covers Expedia, Hotels.com and Vrbo; deep-link lodging near approved resort pages.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20" s="4" t="str">
        <x:v>Hi Expedia Group Affiliate Program team — I’m Jared, building a small Colorado camera finder, PeakCam. Single application covers Expedia, Hotels.com and Vrbo; deep-link lodging near approved resort pages. Is your team the right route for a narrow affiliate partnership pilot? No audience-size claims; happy to share the exact scope.</x:v>
      </x:c>
      <x:c r="E20" s="4" t="str">
        <x:v>One concise follow-up on day 7 with the exact page/scope; day 16 close-the-loop. Stop after three total messages, a refusal or opt-out. Do not concurrently message every employee.</x:v>
      </x:c>
      <x:c r="F20" s="4" t="str">
        <x:v>https://www.affiliates.expediagroup.com/</x:v>
      </x:c>
    </x:row>
    <x:row r="21" ht="230" customHeight="1">
      <x:c r="A21" s="4" t="n">
        <x:v>20</x:v>
      </x:c>
      <x:c r="B21" s="4" t="str">
        <x:v>evo</x:v>
      </x:c>
      <x:c r="C21" s="4" t="str">
        <x:v>Hi evo team,
I’m Jared, the founder of PeakCam (peakcam.io), a small mountain-camera finder currently starting with three Colorado resorts. Published 5% commission and 30-day cookie through AvantLink; relevant gear referral test.
I’m exploring an approved, clearly disclosed resort-context referral link with merchant sub-ID tracking. Could you help me publisher approval, current commission/cookie terms, exclusions and tracking test process?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21" s="4" t="str">
        <x:v>Hi evo team — I’m Jared, building a small Colorado camera finder, PeakCam. Published 5% commission and 30-day cookie through AvantLink; relevant gear referral test. Is your team the right route for a narrow affiliate partnership pilot? No audience-size claims; happy to share the exact scope.</x:v>
      </x:c>
      <x:c r="E21" s="4" t="str">
        <x:v>One concise follow-up on day 7 with the exact page/scope; day 16 close-the-loop. Stop after three total messages, a refusal or opt-out. Do not concurrently message every employee.</x:v>
      </x:c>
      <x:c r="F21" s="4" t="str">
        <x:v>https://www.evo.com/pages/affiliate-program</x:v>
      </x:c>
    </x:row>
    <x:row r="22" ht="230" customHeight="1">
      <x:c r="A22" s="4" t="n">
        <x:v>21</x:v>
      </x:c>
      <x:c r="B22" s="4" t="str">
        <x:v>PeakRankings</x:v>
      </x:c>
      <x:c r="C22" s="4" t="str">
        <x:v>Hi Sam,
I’m Jared, building PeakCam (peakcam.io), a small mountain-camera finder starting with three Colorado resorts. Camera source reliability complements destination comparison content; ask for a critical product test, not endorsement.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c r="D22" s="4" t="str">
        <x:v>Hi Sam — I’m Jared, building a small Colorado camera finder, PeakCam. Camera source reliability complements destination comparison content; ask for a critical product test, not endorsement. Is your team the right route for a narrow creator/media partnership pilot? No audience-size claims; happy to share the exact scope.</x:v>
      </x:c>
      <x:c r="E22" s="4" t="str">
        <x:v>One concise follow-up on day 7 with the exact page/scope; day 16 close-the-loop. Stop after three total messages, a refusal or opt-out. Do not concurrently message every employee.</x:v>
      </x:c>
      <x:c r="F22" s="4" t="str">
        <x:v>https://www.peakrankings.com/about</x:v>
      </x:c>
    </x:row>
    <x:row r="23" ht="230" customHeight="1">
      <x:c r="A23" s="4" t="n">
        <x:v>22</x:v>
      </x:c>
      <x:c r="B23" s="4" t="str">
        <x:v>SnowBrains</x:v>
      </x:c>
      <x:c r="C23" s="4" t="str">
        <x:v>Hi SnowBrains team,
I’m Jared, building PeakCam (peakcam.io), a small mountain-camera finder starting with three Colorado resorts. Pitch a transparent Colorado camera-source audit and useful resource, not a fabricated launch success story.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c r="D23" s="4" t="str">
        <x:v>Hi SnowBrains team — I’m Jared, building a small Colorado camera finder, PeakCam. Pitch a transparent Colorado camera-source audit and useful resource, not a fabricated launch success story. Is your team the right route for a narrow creator/media partnership pilot? No audience-size claims; happy to share the exact scope.</x:v>
      </x:c>
      <x:c r="E23" s="4" t="str">
        <x:v>One concise follow-up on day 7 with the exact page/scope; day 16 close-the-loop. Stop after three total messages, a refusal or opt-out. Do not concurrently message every employee.</x:v>
      </x:c>
      <x:c r="F23" s="4" t="str">
        <x:v>https://snowbrains.com/contact/</x:v>
      </x:c>
    </x:row>
    <x:row r="24" ht="230" customHeight="1">
      <x:c r="A24" s="4" t="n">
        <x:v>23</x:v>
      </x:c>
      <x:c r="B24" s="4" t="str">
        <x:v>Uncover Colorado</x:v>
      </x:c>
      <x:c r="C24" s="4" t="str">
        <x:v>Hi Uncover Colorado team,
I’m Jared, building PeakCam (peakcam.io), a small mountain-camera finder starting with three Colorado resorts. Regional discovery audience; ask for feedback on a useful camera directory after it has meaningful coverage.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c r="D24" s="4" t="str">
        <x:v>Hi Uncover Colorado team — I’m Jared, building a small Colorado camera finder, PeakCam. Regional discovery audience; ask for feedback on a useful camera directory after it has meaningful coverage. Is your team the right route for a narrow creator/media partnership pilot? No audience-size claims; happy to share the exact scope.</x:v>
      </x:c>
      <x:c r="E24" s="4" t="str">
        <x:v>One concise follow-up on day 7 with the exact page/scope; day 16 close-the-loop. Stop after three total messages, a refusal or opt-out. Do not concurrently message every employee.</x:v>
      </x:c>
      <x:c r="F24" s="4" t="str">
        <x:v>https://www.uncovercolorado.com/contact/</x:v>
      </x:c>
    </x:row>
    <x:row r="25" ht="230" customHeight="1">
      <x:c r="A25" s="4" t="n">
        <x:v>24</x:v>
      </x:c>
      <x:c r="B25" s="4" t="str">
        <x:v>Schussbaumer Ski Club</x:v>
      </x:c>
      <x:c r="C25" s="4" t="str">
        <x:v>Hi Valerie,
I’m Jared, building PeakCam (peakcam.io), a small mountain-camera finder starting with three Colorado resorts. Local repeat skiers can test whether the directory saves time; request five testers and one member-newsletter mention only after feedback.
Would you try one pre-drive camera check and tell me where it falls short? I’m testing whether a fast, source-credited directory is genuinely useful, not claiming a national conditions platform. No obligation to post, and any coverage should be candid. I can send a brief walkthrough and a link relevant to your audience.
Thanks,
Jared Schueler
[BUSINESS EMAIL] | [BUSINESS POSTAL ADDRESS]
Please let me know if you’d prefer no follow-up.</x:v>
      </x:c>
      <x:c r="D25" s="4" t="str">
        <x:v>Hi Valerie — I’m Jared, building a small Colorado camera finder, PeakCam. Local repeat skiers can test whether the directory saves time; request five testers and one member-newsletter mention only after feedback. Is your team the right route for a narrow creator/media partnership pilot? No audience-size claims; happy to share the exact scope.</x:v>
      </x:c>
      <x:c r="E25" s="4" t="str">
        <x:v>One concise follow-up on day 7 with the exact page/scope; day 16 close-the-loop. Stop after three total messages, a refusal or opt-out. Do not concurrently message every employee.</x:v>
      </x:c>
      <x:c r="F25" s="4" t="str">
        <x:v>https://schuss.clubexpress.com/content.aspx?club_id=942033&amp;page_id=4</x:v>
      </x:c>
    </x:row>
    <x:row r="26" ht="230" customHeight="1">
      <x:c r="A26" s="4" t="n">
        <x:v>25</x:v>
      </x:c>
      <x:c r="B26" s="4" t="str">
        <x:v>Glade Optics</x:v>
      </x:c>
      <x:c r="C26" s="4" t="str">
        <x:v>Hi Glade Optics team,
I’m Jared, the founder of PeakCam (peakcam.io), a small mountain-camera finder currently starting with three Colorado resorts. Smaller ski-goggle brand with direct contact; propose a modest, clearly labeled regional test once usage exists.
I’m exploring a small, clearly labeled Colorado ski-planning placement or an approved affiliate test. Could you help me route to the appropriate partnership team; discuss a pilot using actual audience numbers? I’m happy to send a one-page outline and the exact proposed page before anything is published. I won’t imply a partnership or reuse footage without permission.
Thanks,
Jared Schueler
PeakCam | [BUSINESS EMAIL] | [BUSINESS POSTAL ADDRESS]
Please let me know if you’d prefer no follow-up.</x:v>
      </x:c>
      <x:c r="D26" s="4" t="str">
        <x:v>Hi Glade Optics team — I’m Jared, building a small Colorado camera finder, PeakCam. Smaller ski-goggle brand with direct contact; propose a modest, clearly labeled regional test once usage exists. Is your team the right route for a narrow sponsorship/advertising pilot? No audience-size claims; happy to share the exact scope.</x:v>
      </x:c>
      <x:c r="E26" s="4" t="str">
        <x:v>One concise follow-up on day 7 with the exact page/scope; day 16 close-the-loop. Stop after three total messages, a refusal or opt-out. Do not concurrently message every employee.</x:v>
      </x:c>
      <x:c r="F26" s="4" t="str">
        <x:v>https://www.shopglade.com/pages/contact-us</x:v>
      </x:c>
    </x:row>
  </x:sheetData>
  <x:pageMargins left="0.7" right="0.7" top="0.75" bottom="0.75" header="0.3" footer="0.3"/>
  <x:tableParts count="1">
    <x:tablePart xmlns:r="http://schemas.openxmlformats.org/officeDocument/2006/relationships" r:id="R50429b56c51342b8"/>
  </x:tableParts>
</x:worksheet>
</file>

<file path=xl/worksheets/sheet5.xml><?xml version="1.0" encoding="utf-8"?>
<x:worksheet xmlns:x="http://schemas.openxmlformats.org/spreadsheetml/2006/main">
  <x:sheetFormatPr defaultRowHeight="15"/>
  <x:cols>
    <x:col min="1" max="1" width="8" hidden="0" customWidth="1"/>
    <x:col min="2" max="2" width="36" hidden="0" customWidth="1"/>
    <x:col min="3" max="3" width="36" hidden="0" customWidth="1"/>
    <x:col min="4" max="4" width="36" hidden="0" customWidth="1"/>
    <x:col min="5" max="5" width="36" hidden="0" customWidth="1"/>
    <x:col min="6" max="6" width="55" hidden="0" customWidth="1"/>
  </x:cols>
  <x:sheetData>
    <x:row r="1" ht="42" customHeight="1">
      <x:c r="A1" s="9" t="str">
        <x:v>Rank</x:v>
      </x:c>
      <x:c r="B1" s="9" t="str">
        <x:v>Company</x:v>
      </x:c>
      <x:c r="C1" s="9" t="str">
        <x:v>Public email</x:v>
      </x:c>
      <x:c r="D1" s="9" t="str">
        <x:v>Phone</x:v>
      </x:c>
      <x:c r="E1" s="9" t="str">
        <x:v>Contact source</x:v>
      </x:c>
      <x:c r="F1" s="9" t="str">
        <x:v>Why</x:v>
      </x:c>
    </x:row>
    <x:row r="2" ht="32" customHeight="1">
      <x:c r="A2" s="4" t="n">
        <x:v>1</x:v>
      </x:c>
      <x:c r="B2" s="4" t="str">
        <x:v>Loveland Ski Area</x:v>
      </x:c>
      <x:c r="C2" s="4" t="str">
        <x:v>loryn.roberson@skiloveland.com</x:v>
      </x:c>
      <x:c r="D2" s="4" t="str">
        <x:v>303-571-5580 x157</x:v>
      </x:c>
      <x:c r="E2" s="4" t="str">
        <x:v>https://skiloveland.com/media-center/</x:v>
      </x:c>
      <x:c r="F2" s="4" t="str">
        <x:v>Already listed in the audited catalog; resolve the official webcam URL and request a small early-season attribution/referral pilot.</x:v>
      </x:c>
    </x:row>
    <x:row r="3" ht="32" customHeight="1">
      <x:c r="A3" s="4" t="n">
        <x:v>2</x:v>
      </x:c>
      <x:c r="B3" s="4" t="str">
        <x:v>Monarch Mountain</x:v>
      </x:c>
      <x:c r="C3" s="4" t="str">
        <x:v>marketing@skimonarch.com</x:v>
      </x:c>
      <x:c r="D3" s="4" t="str">
        <x:v>719-530-5104</x:v>
      </x:c>
      <x:c r="E3" s="4" t="str">
        <x:v>https://skimonarch.com/contact-us/</x:v>
      </x:c>
      <x:c r="F3" s="4" t="str">
        <x:v>Colorado expansion with an explicit marketing inbox; propose link-first conditions discovery and agreed image rights.</x:v>
      </x:c>
    </x:row>
    <x:row r="4" ht="32" customHeight="1">
      <x:c r="A4" s="4" t="n">
        <x:v>3</x:v>
      </x:c>
      <x:c r="B4" s="4" t="str">
        <x:v>Ski Cooper</x:v>
      </x:c>
      <x:c r="C4" s="4" t="str">
        <x:v>N/A</x:v>
      </x:c>
      <x:c r="D4" s="4" t="str">
        <x:v>719-486-2277</x:v>
      </x:c>
      <x:c r="E4" s="4" t="str">
        <x:v>https://www.skicooper.com/contact-us/</x:v>
      </x:c>
      <x:c r="F4" s="4" t="str">
        <x:v>Compact Colorado pilot near existing coverage; ask general form to route to marketing.</x:v>
      </x:c>
    </x:row>
    <x:row r="5" ht="32" customHeight="1">
      <x:c r="A5" s="4" t="n">
        <x:v>4</x:v>
      </x:c>
      <x:c r="B5" s="4" t="str">
        <x:v>Sunlight Mountain Resort</x:v>
      </x:c>
      <x:c r="C5" s="4" t="str">
        <x:v>kala@sunlightmtn.com</x:v>
      </x:c>
      <x:c r="D5" s="4" t="str">
        <x:v>970-945-7491</x:v>
      </x:c>
      <x:c r="E5" s="4" t="str">
        <x:v>https://sunlightmtn.com/media-link/</x:v>
      </x:c>
      <x:c r="F5" s="4" t="str">
        <x:v>Publishes a media-use policy and dedicated contact; start with approved imagery and traffic referrals, not blanket content reuse.</x:v>
      </x:c>
    </x:row>
    <x:row r="6" ht="32" customHeight="1">
      <x:c r="A6" s="4" t="n">
        <x:v>5</x:v>
      </x:c>
      <x:c r="B6" s="4" t="str">
        <x:v>Granby Ranch</x:v>
      </x:c>
      <x:c r="C6" s="4" t="str">
        <x:v>info@granbyranch.com</x:v>
      </x:c>
      <x:c r="D6" s="4" t="str">
        <x:v>888-850-4615</x:v>
      </x:c>
      <x:c r="E6" s="4" t="str">
        <x:v>https://granbyranch.com/contact-us/</x:v>
      </x:c>
      <x:c r="F6" s="4" t="str">
        <x:v>Family-trip use case and regional expansion; ask for correct camera sources and concierge feedback.</x:v>
      </x:c>
    </x:row>
    <x:row r="7" ht="32" customHeight="1">
      <x:c r="A7" s="4" t="n">
        <x:v>6</x:v>
      </x:c>
      <x:c r="B7" s="4" t="str">
        <x:v>Wolf Creek Ski Area</x:v>
      </x:c>
      <x:c r="C7" s="4" t="str">
        <x:v>WolfCreekSki@WolfCreekSki.com</x:v>
      </x:c>
      <x:c r="D7" s="4" t="str">
        <x:v>970-264-5639</x:v>
      </x:c>
      <x:c r="E7" s="4" t="str">
        <x:v>https://wolfcreekski.com/</x:v>
      </x:c>
      <x:c r="F7" s="4" t="str">
        <x:v>Official homepage exposes multiple named cameras; useful snow-observation destination to add only after source verification.</x:v>
      </x:c>
    </x:row>
    <x:row r="8" ht="32" customHeight="1">
      <x:c r="A8" s="4" t="n">
        <x:v>7</x:v>
      </x:c>
      <x:c r="B8" s="4" t="str">
        <x:v>Arapahoe Basin</x:v>
      </x:c>
      <x:c r="C8" s="4" t="str">
        <x:v>guestservices@abasin.com</x:v>
      </x:c>
      <x:c r="D8" s="4" t="str">
        <x:v>888-272-7246</x:v>
      </x:c>
      <x:c r="E8" s="4" t="str">
        <x:v>https://www.arapahoebasin.com/contact-us/</x:v>
      </x:c>
      <x:c r="F8" s="4" t="str">
        <x:v>Already in the audited catalog; request routing to digital marketing for correct source, attribution and permission.</x:v>
      </x:c>
    </x:row>
    <x:row r="9" ht="32" customHeight="1">
      <x:c r="A9" s="4" t="n">
        <x:v>8</x:v>
      </x:c>
      <x:c r="B9" s="4" t="str">
        <x:v>Powderhorn Mountain Resort</x:v>
      </x:c>
      <x:c r="C9" s="4" t="str">
        <x:v>N/A</x:v>
      </x:c>
      <x:c r="D9" s="4" t="str">
        <x:v>970-268-5700</x:v>
      </x:c>
      <x:c r="E9" s="4" t="str">
        <x:v>https://www.powderhorn.com/contact/</x:v>
      </x:c>
      <x:c r="F9" s="4" t="str">
        <x:v>Western Colorado regional pilot with an explicit departmental contact form.</x:v>
      </x:c>
    </x:row>
    <x:row r="10" ht="32" customHeight="1">
      <x:c r="A10" s="4" t="n">
        <x:v>9</x:v>
      </x:c>
      <x:c r="B10" s="4" t="str">
        <x:v>Purgatory Resort</x:v>
      </x:c>
      <x:c r="C10" s="4" t="str">
        <x:v>N/A</x:v>
      </x:c>
      <x:c r="D10" s="4" t="str">
        <x:v>970-385-2100 ext 0</x:v>
      </x:c>
      <x:c r="E10" s="4" t="str">
        <x:v>https://www.purgatory.ski/contact-us/</x:v>
      </x:c>
      <x:c r="F10" s="4" t="str">
        <x:v>Southwest Colorado destination with lodging and transport referrals; local marketing pilot before operator-wide negotiation.</x:v>
      </x:c>
    </x:row>
    <x:row r="11" ht="32" customHeight="1">
      <x:c r="A11" s="4" t="n">
        <x:v>10</x:v>
      </x:c>
      <x:c r="B11" s="4" t="str">
        <x:v>Sipapu Ski and Summer Resort</x:v>
      </x:c>
      <x:c r="C11" s="4" t="str">
        <x:v>N/A</x:v>
      </x:c>
      <x:c r="D11" s="4" t="str">
        <x:v>575-587-2240</x:v>
      </x:c>
      <x:c r="E11" s="4" t="str">
        <x:v>https://www.sipapu.ski/contact-us/</x:v>
      </x:c>
      <x:c r="F11" s="4" t="str">
        <x:v>Small-resort family and lodging proposition suitable for later Southwest pilot.</x:v>
      </x:c>
    </x:row>
    <x:row r="12" ht="32" customHeight="1">
      <x:c r="A12" s="4" t="n">
        <x:v>11</x:v>
      </x:c>
      <x:c r="B12" s="4" t="str">
        <x:v>Taos Ski Valley</x:v>
      </x:c>
      <x:c r="C12" s="4" t="str">
        <x:v>N/A</x:v>
      </x:c>
      <x:c r="D12" s="4" t="str">
        <x:v>800-776-1111</x:v>
      </x:c>
      <x:c r="E12" s="4" t="str">
        <x:v>https://www.skitaos.com/contact</x:v>
      </x:c>
      <x:c r="F12" s="4" t="str">
        <x:v>Regional travel audience; ask contact form to route to digital partnerships, not reservations sales.</x:v>
      </x:c>
    </x:row>
    <x:row r="13" ht="32" customHeight="1">
      <x:c r="A13" s="4" t="n">
        <x:v>12</x:v>
      </x:c>
      <x:c r="B13" s="4" t="str">
        <x:v>Sugar Bowl Resort</x:v>
      </x:c>
      <x:c r="C13" s="4" t="str">
        <x:v>N/A</x:v>
      </x:c>
      <x:c r="D13" s="4" t="str">
        <x:v>530-426-9000</x:v>
      </x:c>
      <x:c r="E13" s="4" t="str">
        <x:v>https://www.sugarbowl.com/contact</x:v>
      </x:c>
      <x:c r="F13" s="4" t="str">
        <x:v>A Tahoe expansion candidate with departmental routing and active webcam section.</x:v>
      </x:c>
    </x:row>
    <x:row r="14" ht="32" customHeight="1">
      <x:c r="A14" s="4" t="n">
        <x:v>13</x:v>
      </x:c>
      <x:c r="B14" s="4" t="str">
        <x:v>Bogus Basin</x:v>
      </x:c>
      <x:c r="C14" s="4" t="str">
        <x:v>marketing@bogusbasin.org</x:v>
      </x:c>
      <x:c r="D14" s="4" t="str">
        <x:v>208-332-5100</x:v>
      </x:c>
      <x:c r="E14" s="4" t="str">
        <x:v>https://bogusbasin.org/about-bogus/contact/</x:v>
      </x:c>
      <x:c r="F14" s="4" t="str">
        <x:v>Explicit marketing and community focus; pilot morning camera discovery for local repeat skiers.</x:v>
      </x:c>
    </x:row>
    <x:row r="15" ht="32" customHeight="1">
      <x:c r="A15" s="4" t="n">
        <x:v>14</x:v>
      </x:c>
      <x:c r="B15" s="4" t="str">
        <x:v>Bridger Bowl</x:v>
      </x:c>
      <x:c r="C15" s="4" t="str">
        <x:v>marketing@bridgerbowl.com</x:v>
      </x:c>
      <x:c r="D15" s="4" t="str">
        <x:v>406-586-1518</x:v>
      </x:c>
      <x:c r="E15" s="4" t="str">
        <x:v>https://bridgerbowl.com/contact/</x:v>
      </x:c>
      <x:c r="F15" s="4" t="str">
        <x:v>Direct marketing team and clear imagery permission policy; good later rights-respecting regional pilot.</x:v>
      </x:c>
    </x:row>
    <x:row r="16" ht="32" customHeight="1">
      <x:c r="A16" s="4" t="n">
        <x:v>15</x:v>
      </x:c>
      <x:c r="B16" s="4" t="str">
        <x:v>Lost Trail Ski Area</x:v>
      </x:c>
      <x:c r="C16" s="4" t="str">
        <x:v>ski@LostTrail.com</x:v>
      </x:c>
      <x:c r="D16" s="4" t="str">
        <x:v>406-821-3211</x:v>
      </x:c>
      <x:c r="E16" s="4" t="str">
        <x:v>https://losttrail.com/lost-trail-policies/</x:v>
      </x:c>
      <x:c r="F16" s="4" t="str">
        <x:v>Accessible small-area team, snow-focused users and source-link distribution opportunity.</x:v>
      </x:c>
    </x:row>
    <x:row r="17" ht="32" customHeight="1">
      <x:c r="A17" s="4" t="n">
        <x:v>16</x:v>
      </x:c>
      <x:c r="B17" s="4" t="str">
        <x:v>Brundage Mountain</x:v>
      </x:c>
      <x:c r="C17" s="4" t="str">
        <x:v>N/A</x:v>
      </x:c>
      <x:c r="D17" s="4" t="str">
        <x:v>208-634-6632</x:v>
      </x:c>
      <x:c r="E17" s="4" t="str">
        <x:v>https://brundage.com/media/</x:v>
      </x:c>
      <x:c r="F17" s="4" t="str">
        <x:v>Named camera program and public media team; request permission-led regional expansion.</x:v>
      </x:c>
    </x:row>
    <x:row r="18" ht="32" customHeight="1">
      <x:c r="A18" s="4" t="n">
        <x:v>17</x:v>
      </x:c>
      <x:c r="B18" s="4" t="str">
        <x:v>Magic Mountain</x:v>
      </x:c>
      <x:c r="C18" s="4" t="str">
        <x:v>omauk@magicmtn.com</x:v>
      </x:c>
      <x:c r="D18" s="4" t="str">
        <x:v>802-824-5645</x:v>
      </x:c>
      <x:c r="E18" s="4" t="str">
        <x:v>https://www.magicmtn.com/</x:v>
      </x:c>
      <x:c r="F18" s="4" t="str">
        <x:v>Small Northeast resort with a directly published media channel; later local-repeat pilot.</x:v>
      </x:c>
    </x:row>
    <x:row r="19" ht="32" customHeight="1">
      <x:c r="A19" s="4" t="n">
        <x:v>18</x:v>
      </x:c>
      <x:c r="B19" s="4" t="str">
        <x:v>Mad River Glen</x:v>
      </x:c>
      <x:c r="C19" s="4" t="str">
        <x:v>matt@madriverglen.com</x:v>
      </x:c>
      <x:c r="D19" s="4" t="str">
        <x:v>N/A</x:v>
      </x:c>
      <x:c r="E19" s="4" t="str">
        <x:v>https://skivermont.com/pr-contacts</x:v>
      </x:c>
      <x:c r="F19" s="4" t="str">
        <x:v>Community-oriented audience; directory-listed general manager for a permission and referral pilot.</x:v>
      </x:c>
    </x:row>
    <x:row r="20" ht="32" customHeight="1">
      <x:c r="A20" s="4" t="n">
        <x:v>19</x:v>
      </x:c>
      <x:c r="B20" s="4" t="str">
        <x:v>Jay Peak Resort</x:v>
      </x:c>
      <x:c r="C20" s="4" t="str">
        <x:v>dwright@jaypeakresort.com</x:v>
      </x:c>
      <x:c r="D20" s="4" t="str">
        <x:v>802-327-2210</x:v>
      </x:c>
      <x:c r="E20" s="4" t="str">
        <x:v>https://skivermont.com/pr-contacts</x:v>
      </x:c>
      <x:c r="F20" s="4" t="str">
        <x:v>Later Northeast camera pilot; a named communications route within PGR.</x:v>
      </x:c>
    </x:row>
    <x:row r="21" ht="32" customHeight="1">
      <x:c r="A21" s="4" t="n">
        <x:v>20</x:v>
      </x:c>
      <x:c r="B21" s="4" t="str">
        <x:v>Middlebury Snowbowl</x:v>
      </x:c>
      <x:c r="C21" s="4" t="str">
        <x:v>kessensa@middlebury.edu</x:v>
      </x:c>
      <x:c r="D21" s="4" t="str">
        <x:v>802-443-2792</x:v>
      </x:c>
      <x:c r="E21" s="4" t="str">
        <x:v>https://skivermont.com/pr-contacts</x:v>
      </x:c>
      <x:c r="F21" s="4" t="str">
        <x:v>Small-area and university distribution experiment; confirm coverage before contacting.</x:v>
      </x:c>
    </x:row>
  </x:sheetData>
  <x:pageMargins left="0.7" right="0.7" top="0.75" bottom="0.75" header="0.3" footer="0.3"/>
  <x:tableParts count="1">
    <x:tablePart xmlns:r="http://schemas.openxmlformats.org/officeDocument/2006/relationships" r:id="Ra806f704ef234d1d"/>
  </x:tableParts>
</x:worksheet>
</file>

<file path=xl/worksheets/sheet6.xml><?xml version="1.0" encoding="utf-8"?>
<x:worksheet xmlns:x="http://schemas.openxmlformats.org/spreadsheetml/2006/main">
  <x:sheetFormatPr defaultRowHeight="15"/>
  <x:cols>
    <x:col min="1" max="1" width="30" hidden="0" customWidth="1"/>
    <x:col min="2" max="2" width="85" hidden="0" customWidth="1"/>
  </x:cols>
  <x:sheetData>
    <x:row r="1" ht="42" customHeight="1">
      <x:c r="A1" s="9" t="str">
        <x:v>Metric</x:v>
      </x:c>
      <x:c r="B1" s="9" t="str">
        <x:v>Value / instruction</x:v>
      </x:c>
    </x:row>
    <x:row r="2" ht="32" customHeight="1">
      <x:c r="A2" s="4" t="str">
        <x:v>Organizations</x:v>
      </x:c>
      <x:c r="B2" s="4" t="n">
        <x:f>COUNTA(Prospects!C2:C101)</x:f>
        <x:v>100</x:v>
      </x:c>
    </x:row>
    <x:row r="3" ht="32" customHeight="1">
      <x:c r="A3" s="4" t="str">
        <x:v>First outreach cohort</x:v>
      </x:c>
      <x:c r="B3" s="4" t="n">
        <x:f>COUNTA('First 25'!B2:B26)</x:f>
        <x:v>25</x:v>
      </x:c>
    </x:row>
    <x:row r="4" ht="32" customHeight="1">
      <x:c r="A4" s="4" t="str">
        <x:v>Resort target cohort</x:v>
      </x:c>
      <x:c r="B4" s="4" t="n">
        <x:f>COUNTA('First 20 Resorts'!B2:B21)</x:f>
        <x:v>20</x:v>
      </x:c>
    </x:row>
    <x:row r="5" ht="32" customHeight="1">
      <x:c r="A5" s="4" t="str">
        <x:v>Contacted</x:v>
      </x:c>
      <x:c r="B5" s="4" t="n">
        <x:f>COUNTIF(Prospects!V2:V101,"Contacted")</x:f>
        <x:v>0</x:v>
      </x:c>
    </x:row>
    <x:row r="6" ht="32" customHeight="1">
      <x:c r="A6" s="4" t="str">
        <x:v>Replied</x:v>
      </x:c>
      <x:c r="B6" s="4" t="n">
        <x:f>COUNTIF(Prospects!V2:V101,"Replied")</x:f>
        <x:v>0</x:v>
      </x:c>
    </x:row>
    <x:row r="7" ht="32" customHeight="1">
      <x:c r="A7" s="4" t="str">
        <x:v>Pilot active</x:v>
      </x:c>
      <x:c r="B7" s="4" t="n">
        <x:f>COUNTIF(Prospects!V2:V101,"Pilot active")</x:f>
        <x:v>0</x:v>
      </x:c>
    </x:row>
    <x:row r="8" ht="32" customHeight="1">
      <x:c r="A8" s="4" t="str">
        <x:v>Paid active</x:v>
      </x:c>
      <x:c r="B8" s="4" t="n">
        <x:f>COUNTIF(Prospects!V2:V101,"Paid active")</x:f>
        <x:v>0</x:v>
      </x:c>
    </x:row>
    <x:row r="9" ht="32" customHeight="1">
      <x:c r="A9" s="4" t="str">
        <x:v>Renewed</x:v>
      </x:c>
      <x:c r="B9" s="4" t="n">
        <x:f>COUNTIF(Prospects!V2:V101,"Renewed")</x:f>
        <x:v>0</x:v>
      </x:c>
    </x:row>
    <x:row r="10" ht="32" customHeight="1">
      <x:c r="A10" s="4" t="str">
        <x:v>Opted out</x:v>
      </x:c>
      <x:c r="B10" s="4" t="n">
        <x:f>COUNTIF(Prospects!V2:V101,"Opted out")</x:f>
        <x:v>0</x:v>
      </x:c>
    </x:row>
    <x:row r="11" ht="32" customHeight="1">
      <x:c r="A11" s="4" t="str">
        <x:v>Pipeline caution</x:v>
      </x:c>
      <x:c r="B11" s="4" t="str">
        <x:v>No probability-weighted revenue total: values are exploratory ranges, not qualified opportunities</x:v>
      </x:c>
    </x:row>
    <x:row r="12" ht="32" customHeight="1">
      <x:c r="A12" s="4" t="str">
        <x:v>Weekly target</x:v>
      </x:c>
      <x:c r="B12" s="4" t="str">
        <x:v>5–10 new tailored messages; 5–10 follow-ups; 1–2 calls; update source verification</x:v>
      </x:c>
    </x:row>
    <x:row r="13" ht="32" customHeight="1">
      <x:c r="A13" s="4" t="str">
        <x:v>Stop rule</x:v>
      </x:c>
      <x:c r="B13" s="4" t="str">
        <x:v>Three messages max over ~16 days; stop immediately on refusal or opt-out</x:v>
      </x:c>
    </x:row>
  </x:sheetData>
  <x:pageMargins left="0.7" right="0.7" top="0.75" bottom="0.75" header="0.3" footer="0.3"/>
  <x:tableParts count="1">
    <x:tablePart xmlns:r="http://schemas.openxmlformats.org/officeDocument/2006/relationships" r:id="R2db849f5439d4607"/>
  </x:tableParts>
</x:worksheet>
</file>